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mi365-my.sharepoint.com/personal/10897670_polimi_it/Documents/Lab Mat Fin/lab2/"/>
    </mc:Choice>
  </mc:AlternateContent>
  <xr:revisionPtr revIDLastSave="647" documentId="8_{A8BDA8CF-AF44-7846-915E-E8F39DE63E76}" xr6:coauthVersionLast="47" xr6:coauthVersionMax="47" xr10:uidLastSave="{E8CD2D77-4002-4E4C-883D-1B4F26C2DBE8}"/>
  <bookViews>
    <workbookView xWindow="6080" yWindow="500" windowWidth="22720" windowHeight="16320" activeTab="4" xr2:uid="{B1BA74CD-AD52-4272-8052-DFFD7C539B87}"/>
  </bookViews>
  <sheets>
    <sheet name="curva_i (punto 1)" sheetId="1" r:id="rId1"/>
    <sheet name="punto 1" sheetId="3" r:id="rId2"/>
    <sheet name="+0,02" sheetId="13" r:id="rId3"/>
    <sheet name="-0,02" sheetId="14" r:id="rId4"/>
    <sheet name="punto 4 + 5 + 6" sheetId="9" r:id="rId5"/>
    <sheet name="punto 4 +0,02" sheetId="15" r:id="rId6"/>
    <sheet name="punto 4 -0,02" sheetId="16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" i="9" l="1"/>
  <c r="I11" i="1"/>
  <c r="L12" i="13"/>
  <c r="K12" i="13"/>
  <c r="J12" i="13"/>
  <c r="I12" i="13"/>
  <c r="I6" i="13"/>
  <c r="N19" i="16"/>
  <c r="N18" i="16" s="1"/>
  <c r="C8" i="16"/>
  <c r="D9" i="15"/>
  <c r="E9" i="15"/>
  <c r="F9" i="15"/>
  <c r="G9" i="15"/>
  <c r="H9" i="15"/>
  <c r="I9" i="15"/>
  <c r="J9" i="15"/>
  <c r="K9" i="15"/>
  <c r="I6" i="14"/>
  <c r="I12" i="14"/>
  <c r="J12" i="14"/>
  <c r="K12" i="14"/>
  <c r="L12" i="14"/>
  <c r="O7" i="14"/>
  <c r="P7" i="14"/>
  <c r="Q7" i="14"/>
  <c r="R7" i="14"/>
  <c r="S7" i="14"/>
  <c r="K8" i="16"/>
  <c r="K12" i="16" s="1"/>
  <c r="J8" i="16"/>
  <c r="J12" i="16" s="1"/>
  <c r="I8" i="16"/>
  <c r="H8" i="16"/>
  <c r="G8" i="16"/>
  <c r="G9" i="16" s="1"/>
  <c r="F8" i="16"/>
  <c r="F9" i="16" s="1"/>
  <c r="E8" i="16"/>
  <c r="E9" i="16" s="1"/>
  <c r="D8" i="16"/>
  <c r="I5" i="16"/>
  <c r="H5" i="16"/>
  <c r="G5" i="16"/>
  <c r="F5" i="16"/>
  <c r="E5" i="16"/>
  <c r="D5" i="16"/>
  <c r="C5" i="16"/>
  <c r="C9" i="16" s="1"/>
  <c r="B5" i="16"/>
  <c r="E4" i="16"/>
  <c r="C4" i="16"/>
  <c r="C12" i="16" s="1"/>
  <c r="K8" i="15"/>
  <c r="K12" i="15" s="1"/>
  <c r="J8" i="15"/>
  <c r="J12" i="15" s="1"/>
  <c r="I8" i="15"/>
  <c r="H8" i="15"/>
  <c r="G8" i="15"/>
  <c r="F8" i="15"/>
  <c r="F12" i="15" s="1"/>
  <c r="E8" i="15"/>
  <c r="E12" i="15" s="1"/>
  <c r="D8" i="15"/>
  <c r="C8" i="15"/>
  <c r="C9" i="15" s="1"/>
  <c r="I5" i="15"/>
  <c r="H5" i="15"/>
  <c r="G5" i="15"/>
  <c r="F5" i="15"/>
  <c r="E5" i="15"/>
  <c r="D5" i="15"/>
  <c r="C5" i="15"/>
  <c r="B5" i="15"/>
  <c r="E4" i="15"/>
  <c r="C4" i="15"/>
  <c r="N19" i="9"/>
  <c r="N18" i="9" s="1"/>
  <c r="K8" i="9"/>
  <c r="K9" i="9" s="1"/>
  <c r="J8" i="9"/>
  <c r="J9" i="9" s="1"/>
  <c r="I8" i="9"/>
  <c r="I9" i="9" s="1"/>
  <c r="H8" i="9"/>
  <c r="H9" i="9" s="1"/>
  <c r="F8" i="9"/>
  <c r="F9" i="9" s="1"/>
  <c r="G8" i="9"/>
  <c r="G9" i="9" s="1"/>
  <c r="E8" i="9"/>
  <c r="E9" i="9" s="1"/>
  <c r="D8" i="9"/>
  <c r="D9" i="9" s="1"/>
  <c r="C8" i="9"/>
  <c r="C9" i="9" s="1"/>
  <c r="P6" i="13"/>
  <c r="P12" i="14"/>
  <c r="P13" i="14" s="1"/>
  <c r="P12" i="13"/>
  <c r="R6" i="13"/>
  <c r="S6" i="13"/>
  <c r="Q6" i="13"/>
  <c r="Q17" i="14"/>
  <c r="Q16" i="14"/>
  <c r="Q9" i="14"/>
  <c r="Q12" i="14" s="1"/>
  <c r="Q13" i="14" s="1"/>
  <c r="F8" i="14"/>
  <c r="E8" i="14"/>
  <c r="F7" i="14"/>
  <c r="E7" i="14"/>
  <c r="F6" i="14"/>
  <c r="E6" i="14"/>
  <c r="U5" i="14"/>
  <c r="T5" i="14"/>
  <c r="S5" i="14"/>
  <c r="R5" i="14"/>
  <c r="Q5" i="14"/>
  <c r="P5" i="14"/>
  <c r="O5" i="14"/>
  <c r="M5" i="14"/>
  <c r="L5" i="14"/>
  <c r="K5" i="14"/>
  <c r="J5" i="14"/>
  <c r="I5" i="14"/>
  <c r="F5" i="14"/>
  <c r="E5" i="14"/>
  <c r="U4" i="14"/>
  <c r="T4" i="14"/>
  <c r="S4" i="14"/>
  <c r="R4" i="14"/>
  <c r="Q4" i="14"/>
  <c r="P4" i="14"/>
  <c r="O4" i="14"/>
  <c r="F4" i="14"/>
  <c r="E4" i="14"/>
  <c r="G8" i="13"/>
  <c r="Q17" i="13"/>
  <c r="Q16" i="13"/>
  <c r="Q9" i="13"/>
  <c r="Q12" i="13" s="1"/>
  <c r="F8" i="13"/>
  <c r="E8" i="13"/>
  <c r="F7" i="13"/>
  <c r="E7" i="13"/>
  <c r="F6" i="13"/>
  <c r="E6" i="13"/>
  <c r="U5" i="13"/>
  <c r="T5" i="13"/>
  <c r="S5" i="13"/>
  <c r="R5" i="13"/>
  <c r="Q5" i="13"/>
  <c r="P5" i="13"/>
  <c r="O5" i="13"/>
  <c r="M5" i="13"/>
  <c r="L5" i="13"/>
  <c r="K5" i="13"/>
  <c r="J5" i="13"/>
  <c r="I5" i="13"/>
  <c r="F5" i="13"/>
  <c r="E5" i="13"/>
  <c r="U4" i="13"/>
  <c r="T4" i="13"/>
  <c r="S4" i="13"/>
  <c r="R4" i="13"/>
  <c r="Q4" i="13"/>
  <c r="P4" i="13"/>
  <c r="O4" i="13"/>
  <c r="F4" i="13"/>
  <c r="E4" i="13"/>
  <c r="G4" i="13" s="1"/>
  <c r="S4" i="1"/>
  <c r="E8" i="1"/>
  <c r="E7" i="1"/>
  <c r="E6" i="1"/>
  <c r="E5" i="1"/>
  <c r="E4" i="1"/>
  <c r="B5" i="9"/>
  <c r="H5" i="9"/>
  <c r="E4" i="9"/>
  <c r="C4" i="9"/>
  <c r="D4" i="9" s="1"/>
  <c r="I5" i="9"/>
  <c r="C5" i="9"/>
  <c r="D5" i="9"/>
  <c r="E5" i="9"/>
  <c r="F5" i="9"/>
  <c r="G5" i="9"/>
  <c r="Q17" i="1"/>
  <c r="G5" i="3"/>
  <c r="G10" i="3" s="1"/>
  <c r="F5" i="3"/>
  <c r="F10" i="3" s="1"/>
  <c r="E5" i="3"/>
  <c r="E10" i="3" s="1"/>
  <c r="D5" i="3"/>
  <c r="D10" i="3" s="1"/>
  <c r="Q9" i="1"/>
  <c r="Q12" i="1" s="1"/>
  <c r="Q16" i="1"/>
  <c r="M5" i="1"/>
  <c r="F8" i="1"/>
  <c r="F7" i="1"/>
  <c r="F6" i="1"/>
  <c r="F5" i="1"/>
  <c r="F4" i="1"/>
  <c r="U5" i="1"/>
  <c r="P5" i="1"/>
  <c r="Q5" i="1"/>
  <c r="R5" i="1"/>
  <c r="S5" i="1"/>
  <c r="T5" i="1"/>
  <c r="O5" i="1"/>
  <c r="P4" i="1"/>
  <c r="Q4" i="1"/>
  <c r="R4" i="1"/>
  <c r="T4" i="1"/>
  <c r="U4" i="1"/>
  <c r="O4" i="1"/>
  <c r="J5" i="1"/>
  <c r="K5" i="1"/>
  <c r="L5" i="1"/>
  <c r="I5" i="1"/>
  <c r="Q13" i="1" l="1"/>
  <c r="I9" i="16"/>
  <c r="I11" i="16" s="1"/>
  <c r="H9" i="16"/>
  <c r="H11" i="16" s="1"/>
  <c r="K9" i="16"/>
  <c r="K11" i="16" s="1"/>
  <c r="J9" i="16"/>
  <c r="J11" i="16" s="1"/>
  <c r="F12" i="16"/>
  <c r="E12" i="16"/>
  <c r="H12" i="16"/>
  <c r="G8" i="14"/>
  <c r="G6" i="14"/>
  <c r="E11" i="16"/>
  <c r="F11" i="16"/>
  <c r="G12" i="16"/>
  <c r="G11" i="16"/>
  <c r="I12" i="16"/>
  <c r="D4" i="16"/>
  <c r="D9" i="16" s="1"/>
  <c r="C11" i="16"/>
  <c r="I12" i="15"/>
  <c r="F11" i="15"/>
  <c r="G12" i="15"/>
  <c r="E11" i="15"/>
  <c r="H12" i="15"/>
  <c r="C12" i="15"/>
  <c r="H11" i="15"/>
  <c r="G11" i="15"/>
  <c r="D4" i="15"/>
  <c r="I11" i="15"/>
  <c r="J11" i="15"/>
  <c r="K11" i="15"/>
  <c r="G7" i="1"/>
  <c r="P6" i="1" s="1"/>
  <c r="P7" i="1" s="1"/>
  <c r="P12" i="1"/>
  <c r="P13" i="1" s="1"/>
  <c r="G6" i="1"/>
  <c r="D6" i="3" s="1"/>
  <c r="G7" i="14"/>
  <c r="P6" i="14" s="1"/>
  <c r="G5" i="14"/>
  <c r="O6" i="14" s="1"/>
  <c r="G4" i="14"/>
  <c r="G5" i="13"/>
  <c r="G7" i="13"/>
  <c r="Q13" i="13"/>
  <c r="G6" i="13"/>
  <c r="AA6" i="13" s="1"/>
  <c r="J8" i="14"/>
  <c r="AA6" i="14"/>
  <c r="J8" i="13"/>
  <c r="L11" i="13" s="1"/>
  <c r="P13" i="13" s="1"/>
  <c r="O6" i="13"/>
  <c r="O7" i="13" s="1"/>
  <c r="J11" i="13"/>
  <c r="G4" i="1"/>
  <c r="C12" i="9" s="1"/>
  <c r="G5" i="1"/>
  <c r="G8" i="1"/>
  <c r="J8" i="1" s="1"/>
  <c r="O6" i="1" l="1"/>
  <c r="O7" i="1" s="1"/>
  <c r="I6" i="1"/>
  <c r="D14" i="16"/>
  <c r="N16" i="16" s="1"/>
  <c r="J11" i="14"/>
  <c r="AC6" i="14" s="1"/>
  <c r="R6" i="14"/>
  <c r="S6" i="14"/>
  <c r="Q6" i="14"/>
  <c r="D12" i="16"/>
  <c r="D12" i="15"/>
  <c r="C11" i="15"/>
  <c r="D14" i="15"/>
  <c r="J11" i="1"/>
  <c r="R6" i="1"/>
  <c r="R7" i="1" s="1"/>
  <c r="S6" i="1"/>
  <c r="S7" i="1" s="1"/>
  <c r="Q6" i="1"/>
  <c r="Q7" i="1" s="1"/>
  <c r="J11" i="9"/>
  <c r="K12" i="9"/>
  <c r="G11" i="9"/>
  <c r="F12" i="9"/>
  <c r="K11" i="14"/>
  <c r="AD6" i="14" s="1"/>
  <c r="L11" i="14"/>
  <c r="I11" i="14"/>
  <c r="I11" i="13"/>
  <c r="AB6" i="13" s="1"/>
  <c r="K11" i="13"/>
  <c r="R7" i="13" s="1"/>
  <c r="AC6" i="13"/>
  <c r="P7" i="13"/>
  <c r="S7" i="13"/>
  <c r="Q7" i="13"/>
  <c r="I11" i="9"/>
  <c r="C11" i="9"/>
  <c r="L11" i="1"/>
  <c r="L12" i="1" s="1"/>
  <c r="K11" i="1"/>
  <c r="D8" i="3"/>
  <c r="G6" i="3" l="1"/>
  <c r="K12" i="1"/>
  <c r="E6" i="3"/>
  <c r="I12" i="1"/>
  <c r="F6" i="3"/>
  <c r="J12" i="1"/>
  <c r="G8" i="3"/>
  <c r="F8" i="3"/>
  <c r="AD6" i="13"/>
  <c r="Z8" i="13" s="1"/>
  <c r="AB6" i="14"/>
  <c r="Z8" i="14" s="1"/>
  <c r="J14" i="14"/>
  <c r="M17" i="14" s="1"/>
  <c r="D17" i="16"/>
  <c r="D11" i="16"/>
  <c r="D16" i="16" s="1"/>
  <c r="D17" i="15"/>
  <c r="D11" i="15"/>
  <c r="D16" i="15" s="1"/>
  <c r="G12" i="9"/>
  <c r="J12" i="9"/>
  <c r="K11" i="9"/>
  <c r="F11" i="9"/>
  <c r="I12" i="9"/>
  <c r="Q15" i="14"/>
  <c r="T18" i="14" s="1"/>
  <c r="J14" i="13"/>
  <c r="M17" i="13" s="1"/>
  <c r="Q15" i="13"/>
  <c r="T18" i="13" s="1"/>
  <c r="D12" i="9"/>
  <c r="D11" i="9"/>
  <c r="H12" i="9"/>
  <c r="H11" i="9"/>
  <c r="E12" i="9"/>
  <c r="E11" i="9"/>
  <c r="C12" i="3" l="1"/>
  <c r="O16" i="9" s="1"/>
  <c r="J14" i="1"/>
  <c r="M17" i="1" s="1"/>
  <c r="E8" i="3"/>
  <c r="Q15" i="1"/>
  <c r="T18" i="1" s="1"/>
  <c r="D14" i="9"/>
  <c r="D16" i="9" s="1"/>
  <c r="C15" i="3" l="1"/>
  <c r="N14" i="16" s="1"/>
  <c r="O16" i="16"/>
  <c r="C14" i="3"/>
  <c r="N16" i="9"/>
  <c r="D17" i="9"/>
  <c r="N12" i="9" l="1"/>
  <c r="N12" i="16"/>
</calcChain>
</file>

<file path=xl/sharedStrings.xml><?xml version="1.0" encoding="utf-8"?>
<sst xmlns="http://schemas.openxmlformats.org/spreadsheetml/2006/main" count="222" uniqueCount="49">
  <si>
    <t>Today</t>
  </si>
  <si>
    <t>ZCB</t>
  </si>
  <si>
    <t>Coupon bond with maturity 1 ott 27</t>
  </si>
  <si>
    <t>Coupon bond with maturity 1 lug 28</t>
  </si>
  <si>
    <t>Coupon</t>
  </si>
  <si>
    <t>Maturity</t>
  </si>
  <si>
    <t>Price</t>
  </si>
  <si>
    <t>Time to maturity (T)</t>
  </si>
  <si>
    <t>p(0,T)</t>
  </si>
  <si>
    <t>i(0,T)</t>
  </si>
  <si>
    <t>Dates</t>
  </si>
  <si>
    <t>no</t>
  </si>
  <si>
    <t>Time to mat</t>
  </si>
  <si>
    <t>Time to mat (T)</t>
  </si>
  <si>
    <t>Payments</t>
  </si>
  <si>
    <t>Disc Val</t>
  </si>
  <si>
    <t>Interpolation</t>
  </si>
  <si>
    <t>unknown</t>
  </si>
  <si>
    <t>Interpol</t>
  </si>
  <si>
    <t>T</t>
  </si>
  <si>
    <t>DiscVal</t>
  </si>
  <si>
    <t>i(0,0.92)</t>
  </si>
  <si>
    <t>i(0,2.5)</t>
  </si>
  <si>
    <t>i(0,3.25)</t>
  </si>
  <si>
    <t>formula i per interpolazione lineare</t>
  </si>
  <si>
    <t>Discounted price</t>
  </si>
  <si>
    <t>Market Price</t>
  </si>
  <si>
    <t>Discounted Price</t>
  </si>
  <si>
    <t>Looking for J9 such that  J14=J15</t>
  </si>
  <si>
    <t>Difference</t>
  </si>
  <si>
    <t>Accrual</t>
  </si>
  <si>
    <t>Coupon bond with maturity 1 apr 27</t>
  </si>
  <si>
    <t>T*xn</t>
  </si>
  <si>
    <t>flussi convexity</t>
  </si>
  <si>
    <t>DURATION</t>
  </si>
  <si>
    <t>CONVEXITY</t>
  </si>
  <si>
    <t>Coupon bond with maturity 1 giu 29</t>
  </si>
  <si>
    <t>disc value</t>
  </si>
  <si>
    <t>DURATION PORTAFOGLIO</t>
  </si>
  <si>
    <t>CONVEXITY PORTAFOGLIO</t>
  </si>
  <si>
    <t>w2</t>
  </si>
  <si>
    <t>w1</t>
  </si>
  <si>
    <t>IMMUNIZZAZIONE</t>
  </si>
  <si>
    <t>prezzo ZCB t=3</t>
  </si>
  <si>
    <t xml:space="preserve"> +0,02%</t>
  </si>
  <si>
    <t>ZCB+0,02%</t>
  </si>
  <si>
    <t>ZCB-0,02%</t>
  </si>
  <si>
    <t xml:space="preserve"> -0,02%</t>
  </si>
  <si>
    <t>i(T=3)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</si>
</sst>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0%"/>
    <numFmt numFmtId="165" formatCode="0.000000"/>
    <numFmt numFmtId="166" formatCode="0.000%"/>
    <numFmt numFmtId="167" formatCode="0.00000%"/>
    <numFmt numFmtId="168" formatCode="0.00000"/>
    <numFmt numFmtId="169" formatCode="0.0000"/>
    <numFmt numFmtId="170" formatCode="0.000000%"/>
    <numFmt numFmtId="171" formatCode="0.0000000%"/>
    <numFmt numFmtId="178" formatCode="0.0000000"/>
  </numFmts>
  <fonts count="10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5" fontId="1" fillId="2" borderId="0" xfId="0" applyNumberFormat="1" applyFont="1" applyFill="1" applyAlignment="1">
      <alignment horizontal="center"/>
    </xf>
    <xf numFmtId="15" fontId="1" fillId="3" borderId="0" xfId="0" applyNumberFormat="1" applyFont="1" applyFill="1" applyAlignment="1">
      <alignment horizontal="center"/>
    </xf>
    <xf numFmtId="15" fontId="1" fillId="4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 wrapText="1"/>
    </xf>
    <xf numFmtId="0" fontId="0" fillId="2" borderId="3" xfId="0" applyFill="1" applyBorder="1"/>
    <xf numFmtId="0" fontId="0" fillId="2" borderId="0" xfId="0" applyFill="1"/>
    <xf numFmtId="2" fontId="2" fillId="2" borderId="3" xfId="0" applyNumberFormat="1" applyFont="1" applyFill="1" applyBorder="1" applyAlignment="1">
      <alignment horizontal="center" wrapText="1"/>
    </xf>
    <xf numFmtId="2" fontId="0" fillId="2" borderId="3" xfId="0" applyNumberForma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4" fillId="3" borderId="5" xfId="0" applyFont="1" applyFill="1" applyBorder="1"/>
    <xf numFmtId="164" fontId="4" fillId="3" borderId="6" xfId="0" applyNumberFormat="1" applyFont="1" applyFill="1" applyBorder="1"/>
    <xf numFmtId="0" fontId="4" fillId="3" borderId="6" xfId="0" applyFont="1" applyFill="1" applyBorder="1"/>
    <xf numFmtId="0" fontId="4" fillId="3" borderId="7" xfId="0" applyFont="1" applyFill="1" applyBorder="1"/>
    <xf numFmtId="0" fontId="4" fillId="3" borderId="11" xfId="0" applyFont="1" applyFill="1" applyBorder="1"/>
    <xf numFmtId="10" fontId="4" fillId="3" borderId="0" xfId="0" applyNumberFormat="1" applyFont="1" applyFill="1"/>
    <xf numFmtId="0" fontId="5" fillId="3" borderId="0" xfId="0" applyFont="1" applyFill="1"/>
    <xf numFmtId="0" fontId="4" fillId="3" borderId="12" xfId="0" applyFont="1" applyFill="1" applyBorder="1"/>
    <xf numFmtId="2" fontId="2" fillId="3" borderId="5" xfId="0" applyNumberFormat="1" applyFont="1" applyFill="1" applyBorder="1" applyAlignment="1">
      <alignment horizontal="center" wrapText="1"/>
    </xf>
    <xf numFmtId="2" fontId="2" fillId="3" borderId="8" xfId="0" applyNumberFormat="1" applyFont="1" applyFill="1" applyBorder="1" applyAlignment="1">
      <alignment horizontal="center" wrapText="1"/>
    </xf>
    <xf numFmtId="2" fontId="2" fillId="3" borderId="13" xfId="0" applyNumberFormat="1" applyFont="1" applyFill="1" applyBorder="1" applyAlignment="1">
      <alignment horizontal="center" wrapText="1"/>
    </xf>
    <xf numFmtId="0" fontId="0" fillId="3" borderId="15" xfId="0" applyFill="1" applyBorder="1"/>
    <xf numFmtId="0" fontId="0" fillId="3" borderId="11" xfId="0" applyFill="1" applyBorder="1"/>
    <xf numFmtId="0" fontId="0" fillId="3" borderId="0" xfId="0" applyFill="1"/>
    <xf numFmtId="0" fontId="0" fillId="3" borderId="12" xfId="0" applyFill="1" applyBorder="1"/>
    <xf numFmtId="2" fontId="2" fillId="3" borderId="11" xfId="0" applyNumberFormat="1" applyFont="1" applyFill="1" applyBorder="1" applyAlignment="1">
      <alignment horizontal="center" wrapText="1"/>
    </xf>
    <xf numFmtId="15" fontId="0" fillId="3" borderId="0" xfId="0" applyNumberFormat="1" applyFill="1"/>
    <xf numFmtId="0" fontId="0" fillId="3" borderId="11" xfId="0" applyFill="1" applyBorder="1" applyAlignment="1">
      <alignment horizontal="right"/>
    </xf>
    <xf numFmtId="2" fontId="0" fillId="3" borderId="0" xfId="0" applyNumberFormat="1" applyFill="1"/>
    <xf numFmtId="2" fontId="0" fillId="3" borderId="10" xfId="0" applyNumberFormat="1" applyFill="1" applyBorder="1"/>
    <xf numFmtId="2" fontId="2" fillId="4" borderId="11" xfId="0" applyNumberFormat="1" applyFont="1" applyFill="1" applyBorder="1" applyAlignment="1">
      <alignment horizontal="center" wrapText="1"/>
    </xf>
    <xf numFmtId="15" fontId="0" fillId="4" borderId="0" xfId="0" applyNumberFormat="1" applyFill="1"/>
    <xf numFmtId="0" fontId="0" fillId="4" borderId="0" xfId="0" applyFill="1"/>
    <xf numFmtId="0" fontId="4" fillId="4" borderId="12" xfId="0" applyFont="1" applyFill="1" applyBorder="1"/>
    <xf numFmtId="2" fontId="2" fillId="4" borderId="5" xfId="0" applyNumberFormat="1" applyFont="1" applyFill="1" applyBorder="1" applyAlignment="1">
      <alignment horizontal="center" wrapText="1"/>
    </xf>
    <xf numFmtId="2" fontId="2" fillId="4" borderId="6" xfId="0" applyNumberFormat="1" applyFont="1" applyFill="1" applyBorder="1" applyAlignment="1">
      <alignment horizontal="center" wrapText="1"/>
    </xf>
    <xf numFmtId="0" fontId="0" fillId="4" borderId="6" xfId="0" applyFill="1" applyBorder="1"/>
    <xf numFmtId="10" fontId="0" fillId="4" borderId="6" xfId="0" applyNumberFormat="1" applyFill="1" applyBorder="1"/>
    <xf numFmtId="0" fontId="0" fillId="4" borderId="7" xfId="0" applyFill="1" applyBorder="1"/>
    <xf numFmtId="2" fontId="2" fillId="4" borderId="8" xfId="0" applyNumberFormat="1" applyFont="1" applyFill="1" applyBorder="1" applyAlignment="1">
      <alignment horizontal="center" wrapText="1"/>
    </xf>
    <xf numFmtId="2" fontId="2" fillId="4" borderId="9" xfId="0" applyNumberFormat="1" applyFont="1" applyFill="1" applyBorder="1" applyAlignment="1">
      <alignment horizontal="center" wrapText="1"/>
    </xf>
    <xf numFmtId="0" fontId="0" fillId="4" borderId="9" xfId="0" applyFill="1" applyBorder="1"/>
    <xf numFmtId="10" fontId="0" fillId="4" borderId="9" xfId="0" applyNumberFormat="1" applyFill="1" applyBorder="1"/>
    <xf numFmtId="0" fontId="5" fillId="4" borderId="10" xfId="0" applyFont="1" applyFill="1" applyBorder="1"/>
    <xf numFmtId="0" fontId="0" fillId="4" borderId="11" xfId="0" applyFill="1" applyBorder="1"/>
    <xf numFmtId="0" fontId="0" fillId="4" borderId="12" xfId="0" applyFill="1" applyBorder="1"/>
    <xf numFmtId="15" fontId="0" fillId="4" borderId="12" xfId="0" applyNumberFormat="1" applyFill="1" applyBorder="1"/>
    <xf numFmtId="0" fontId="0" fillId="4" borderId="8" xfId="0" applyFill="1" applyBorder="1"/>
    <xf numFmtId="0" fontId="0" fillId="4" borderId="10" xfId="0" applyFill="1" applyBorder="1"/>
    <xf numFmtId="0" fontId="1" fillId="0" borderId="5" xfId="0" applyFont="1" applyBorder="1"/>
    <xf numFmtId="15" fontId="1" fillId="4" borderId="6" xfId="0" applyNumberFormat="1" applyFont="1" applyFill="1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/>
    <xf numFmtId="10" fontId="1" fillId="3" borderId="11" xfId="0" applyNumberFormat="1" applyFont="1" applyFill="1" applyBorder="1" applyAlignment="1">
      <alignment horizontal="center"/>
    </xf>
    <xf numFmtId="0" fontId="1" fillId="3" borderId="12" xfId="0" applyFont="1" applyFill="1" applyBorder="1"/>
    <xf numFmtId="0" fontId="1" fillId="4" borderId="12" xfId="0" applyFont="1" applyFill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0" xfId="0" applyFill="1" applyAlignment="1">
      <alignment horizontal="right"/>
    </xf>
    <xf numFmtId="0" fontId="2" fillId="4" borderId="5" xfId="0" applyFont="1" applyFill="1" applyBorder="1"/>
    <xf numFmtId="0" fontId="2" fillId="4" borderId="11" xfId="0" applyFont="1" applyFill="1" applyBorder="1"/>
    <xf numFmtId="0" fontId="2" fillId="4" borderId="8" xfId="0" applyFont="1" applyFill="1" applyBorder="1"/>
    <xf numFmtId="0" fontId="0" fillId="3" borderId="0" xfId="0" applyFill="1" applyAlignment="1">
      <alignment horizontal="right"/>
    </xf>
    <xf numFmtId="165" fontId="0" fillId="0" borderId="0" xfId="0" applyNumberFormat="1"/>
    <xf numFmtId="164" fontId="0" fillId="5" borderId="9" xfId="0" applyNumberFormat="1" applyFill="1" applyBorder="1"/>
    <xf numFmtId="165" fontId="0" fillId="5" borderId="0" xfId="0" applyNumberFormat="1" applyFill="1"/>
    <xf numFmtId="164" fontId="0" fillId="5" borderId="0" xfId="0" applyNumberFormat="1" applyFill="1"/>
    <xf numFmtId="0" fontId="0" fillId="5" borderId="0" xfId="0" applyFill="1"/>
    <xf numFmtId="2" fontId="0" fillId="5" borderId="14" xfId="0" applyNumberFormat="1" applyFill="1" applyBorder="1"/>
    <xf numFmtId="2" fontId="0" fillId="5" borderId="0" xfId="0" applyNumberFormat="1" applyFill="1"/>
    <xf numFmtId="0" fontId="0" fillId="5" borderId="9" xfId="0" applyFill="1" applyBorder="1"/>
    <xf numFmtId="2" fontId="0" fillId="5" borderId="12" xfId="0" applyNumberFormat="1" applyFill="1" applyBorder="1"/>
    <xf numFmtId="2" fontId="0" fillId="5" borderId="9" xfId="0" applyNumberFormat="1" applyFill="1" applyBorder="1"/>
    <xf numFmtId="165" fontId="0" fillId="2" borderId="0" xfId="0" applyNumberFormat="1" applyFill="1"/>
    <xf numFmtId="165" fontId="0" fillId="2" borderId="4" xfId="0" applyNumberFormat="1" applyFill="1" applyBorder="1"/>
    <xf numFmtId="10" fontId="1" fillId="4" borderId="11" xfId="0" applyNumberFormat="1" applyFont="1" applyFill="1" applyBorder="1" applyAlignment="1">
      <alignment horizontal="center"/>
    </xf>
    <xf numFmtId="166" fontId="0" fillId="5" borderId="0" xfId="0" applyNumberFormat="1" applyFill="1"/>
    <xf numFmtId="10" fontId="0" fillId="5" borderId="0" xfId="0" applyNumberFormat="1" applyFill="1"/>
    <xf numFmtId="0" fontId="6" fillId="3" borderId="0" xfId="0" applyFont="1" applyFill="1" applyAlignment="1">
      <alignment horizontal="right"/>
    </xf>
    <xf numFmtId="2" fontId="0" fillId="4" borderId="0" xfId="0" applyNumberFormat="1" applyFill="1"/>
    <xf numFmtId="164" fontId="0" fillId="0" borderId="0" xfId="0" applyNumberFormat="1"/>
    <xf numFmtId="169" fontId="0" fillId="2" borderId="0" xfId="0" applyNumberFormat="1" applyFill="1"/>
    <xf numFmtId="164" fontId="4" fillId="3" borderId="5" xfId="0" applyNumberFormat="1" applyFont="1" applyFill="1" applyBorder="1"/>
    <xf numFmtId="2" fontId="2" fillId="3" borderId="0" xfId="0" applyNumberFormat="1" applyFont="1" applyFill="1" applyAlignment="1">
      <alignment horizontal="center" wrapText="1"/>
    </xf>
    <xf numFmtId="2" fontId="2" fillId="3" borderId="6" xfId="0" applyNumberFormat="1" applyFont="1" applyFill="1" applyBorder="1" applyAlignment="1">
      <alignment horizontal="center" wrapText="1"/>
    </xf>
    <xf numFmtId="0" fontId="8" fillId="6" borderId="12" xfId="0" applyFont="1" applyFill="1" applyBorder="1"/>
    <xf numFmtId="15" fontId="8" fillId="6" borderId="0" xfId="0" applyNumberFormat="1" applyFont="1" applyFill="1"/>
    <xf numFmtId="0" fontId="8" fillId="6" borderId="0" xfId="0" applyFont="1" applyFill="1"/>
    <xf numFmtId="0" fontId="8" fillId="6" borderId="7" xfId="0" applyFont="1" applyFill="1" applyBorder="1"/>
    <xf numFmtId="2" fontId="0" fillId="3" borderId="0" xfId="0" applyNumberFormat="1" applyFill="1" applyAlignment="1">
      <alignment horizontal="center" wrapText="1"/>
    </xf>
    <xf numFmtId="2" fontId="8" fillId="6" borderId="0" xfId="0" applyNumberFormat="1" applyFont="1" applyFill="1"/>
    <xf numFmtId="0" fontId="4" fillId="6" borderId="6" xfId="0" applyFont="1" applyFill="1" applyBorder="1"/>
    <xf numFmtId="2" fontId="7" fillId="6" borderId="5" xfId="0" applyNumberFormat="1" applyFont="1" applyFill="1" applyBorder="1" applyAlignment="1">
      <alignment horizontal="center"/>
    </xf>
    <xf numFmtId="164" fontId="0" fillId="3" borderId="10" xfId="0" applyNumberFormat="1" applyFill="1" applyBorder="1"/>
    <xf numFmtId="0" fontId="8" fillId="6" borderId="11" xfId="0" applyFont="1" applyFill="1" applyBorder="1"/>
    <xf numFmtId="2" fontId="7" fillId="6" borderId="11" xfId="0" applyNumberFormat="1" applyFont="1" applyFill="1" applyBorder="1" applyAlignment="1">
      <alignment horizontal="center" wrapText="1"/>
    </xf>
    <xf numFmtId="0" fontId="8" fillId="9" borderId="0" xfId="0" applyFont="1" applyFill="1"/>
    <xf numFmtId="164" fontId="4" fillId="3" borderId="0" xfId="0" applyNumberFormat="1" applyFont="1" applyFill="1"/>
    <xf numFmtId="164" fontId="0" fillId="4" borderId="6" xfId="0" applyNumberFormat="1" applyFill="1" applyBorder="1"/>
    <xf numFmtId="164" fontId="0" fillId="4" borderId="9" xfId="0" applyNumberFormat="1" applyFill="1" applyBorder="1"/>
    <xf numFmtId="168" fontId="0" fillId="5" borderId="9" xfId="0" applyNumberFormat="1" applyFill="1" applyBorder="1"/>
    <xf numFmtId="2" fontId="7" fillId="9" borderId="11" xfId="0" applyNumberFormat="1" applyFont="1" applyFill="1" applyBorder="1" applyAlignment="1">
      <alignment horizontal="center" wrapText="1"/>
    </xf>
    <xf numFmtId="169" fontId="0" fillId="5" borderId="0" xfId="0" applyNumberFormat="1" applyFill="1"/>
    <xf numFmtId="0" fontId="7" fillId="9" borderId="0" xfId="0" applyFont="1" applyFill="1"/>
    <xf numFmtId="0" fontId="2" fillId="2" borderId="0" xfId="0" applyFont="1" applyFill="1"/>
    <xf numFmtId="0" fontId="2" fillId="3" borderId="0" xfId="0" applyFont="1" applyFill="1"/>
    <xf numFmtId="0" fontId="2" fillId="2" borderId="9" xfId="0" applyFont="1" applyFill="1" applyBorder="1"/>
    <xf numFmtId="0" fontId="4" fillId="2" borderId="0" xfId="0" applyFont="1" applyFill="1"/>
    <xf numFmtId="0" fontId="0" fillId="3" borderId="5" xfId="0" applyFill="1" applyBorder="1"/>
    <xf numFmtId="2" fontId="2" fillId="2" borderId="11" xfId="0" applyNumberFormat="1" applyFont="1" applyFill="1" applyBorder="1" applyAlignment="1">
      <alignment horizontal="center" wrapText="1"/>
    </xf>
    <xf numFmtId="169" fontId="4" fillId="9" borderId="0" xfId="0" applyNumberFormat="1" applyFont="1" applyFill="1"/>
    <xf numFmtId="169" fontId="4" fillId="2" borderId="0" xfId="0" applyNumberFormat="1" applyFont="1" applyFill="1"/>
    <xf numFmtId="169" fontId="4" fillId="2" borderId="9" xfId="0" applyNumberFormat="1" applyFont="1" applyFill="1" applyBorder="1"/>
    <xf numFmtId="0" fontId="2" fillId="0" borderId="0" xfId="0" applyFont="1"/>
    <xf numFmtId="0" fontId="4" fillId="0" borderId="0" xfId="0" applyFont="1"/>
    <xf numFmtId="0" fontId="2" fillId="2" borderId="11" xfId="0" applyFont="1" applyFill="1" applyBorder="1"/>
    <xf numFmtId="164" fontId="8" fillId="7" borderId="0" xfId="0" applyNumberFormat="1" applyFont="1" applyFill="1"/>
    <xf numFmtId="2" fontId="7" fillId="8" borderId="9" xfId="0" applyNumberFormat="1" applyFont="1" applyFill="1" applyBorder="1" applyAlignment="1">
      <alignment horizontal="center" wrapText="1"/>
    </xf>
    <xf numFmtId="2" fontId="8" fillId="9" borderId="3" xfId="0" applyNumberFormat="1" applyFont="1" applyFill="1" applyBorder="1" applyAlignment="1">
      <alignment horizontal="center"/>
    </xf>
    <xf numFmtId="0" fontId="4" fillId="6" borderId="11" xfId="0" applyFont="1" applyFill="1" applyBorder="1" applyAlignment="1">
      <alignment horizontal="center"/>
    </xf>
    <xf numFmtId="164" fontId="4" fillId="6" borderId="0" xfId="0" applyNumberFormat="1" applyFont="1" applyFill="1" applyAlignment="1">
      <alignment horizontal="right"/>
    </xf>
    <xf numFmtId="167" fontId="4" fillId="3" borderId="5" xfId="0" applyNumberFormat="1" applyFont="1" applyFill="1" applyBorder="1"/>
    <xf numFmtId="165" fontId="8" fillId="0" borderId="0" xfId="0" applyNumberFormat="1" applyFont="1"/>
    <xf numFmtId="164" fontId="8" fillId="8" borderId="9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10" fontId="7" fillId="9" borderId="11" xfId="0" quotePrefix="1" applyNumberFormat="1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2" fillId="3" borderId="12" xfId="0" applyFont="1" applyFill="1" applyBorder="1" applyAlignment="1">
      <alignment horizontal="center"/>
    </xf>
    <xf numFmtId="170" fontId="0" fillId="5" borderId="0" xfId="0" applyNumberFormat="1" applyFill="1"/>
    <xf numFmtId="171" fontId="8" fillId="7" borderId="0" xfId="0" applyNumberFormat="1" applyFont="1" applyFill="1"/>
    <xf numFmtId="170" fontId="8" fillId="8" borderId="9" xfId="0" applyNumberFormat="1" applyFont="1" applyFill="1" applyBorder="1"/>
    <xf numFmtId="171" fontId="8" fillId="8" borderId="9" xfId="0" applyNumberFormat="1" applyFont="1" applyFill="1" applyBorder="1"/>
    <xf numFmtId="170" fontId="4" fillId="6" borderId="0" xfId="0" applyNumberFormat="1" applyFont="1" applyFill="1" applyAlignment="1">
      <alignment horizontal="right"/>
    </xf>
    <xf numFmtId="171" fontId="4" fillId="6" borderId="0" xfId="0" applyNumberFormat="1" applyFont="1" applyFill="1" applyAlignment="1">
      <alignment horizontal="right"/>
    </xf>
    <xf numFmtId="170" fontId="8" fillId="7" borderId="0" xfId="0" applyNumberFormat="1" applyFont="1" applyFill="1"/>
    <xf numFmtId="178" fontId="0" fillId="5" borderId="0" xfId="0" applyNumberFormat="1" applyFill="1"/>
    <xf numFmtId="167" fontId="0" fillId="4" borderId="9" xfId="0" applyNumberFormat="1" applyFill="1" applyBorder="1"/>
    <xf numFmtId="165" fontId="0" fillId="5" borderId="9" xfId="0" applyNumberFormat="1" applyFill="1" applyBorder="1"/>
    <xf numFmtId="0" fontId="9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C56F-5299-45A5-B9C1-DB25C4736941}">
  <sheetPr>
    <tabColor rgb="FFFFC000"/>
  </sheetPr>
  <dimension ref="A1:V18"/>
  <sheetViews>
    <sheetView topLeftCell="G1" zoomScaleNormal="100" workbookViewId="0">
      <selection activeCell="Q10" sqref="Q10"/>
    </sheetView>
  </sheetViews>
  <sheetFormatPr baseColWidth="10" defaultColWidth="8.83203125" defaultRowHeight="15" x14ac:dyDescent="0.2"/>
  <cols>
    <col min="1" max="1" width="22.33203125" customWidth="1"/>
    <col min="2" max="2" width="26.5" customWidth="1"/>
    <col min="3" max="3" width="20.83203125" customWidth="1"/>
    <col min="4" max="4" width="7" customWidth="1"/>
    <col min="5" max="5" width="15.5" customWidth="1"/>
    <col min="6" max="6" width="9.6640625" bestFit="1" customWidth="1"/>
    <col min="7" max="7" width="34.6640625" bestFit="1" customWidth="1"/>
    <col min="8" max="8" width="12" bestFit="1" customWidth="1"/>
    <col min="9" max="9" width="20.5" bestFit="1" customWidth="1"/>
    <col min="10" max="11" width="9" customWidth="1"/>
    <col min="12" max="12" width="10.33203125" customWidth="1"/>
    <col min="13" max="13" width="9" customWidth="1"/>
    <col min="14" max="14" width="10.5" customWidth="1"/>
    <col min="15" max="15" width="9" customWidth="1"/>
    <col min="16" max="16" width="9.5" customWidth="1"/>
    <col min="17" max="17" width="12.1640625" customWidth="1"/>
    <col min="18" max="18" width="9.6640625" bestFit="1" customWidth="1"/>
    <col min="19" max="19" width="10.33203125" customWidth="1"/>
    <col min="20" max="20" width="9.6640625" bestFit="1" customWidth="1"/>
  </cols>
  <sheetData>
    <row r="1" spans="1:22" ht="26" x14ac:dyDescent="0.3">
      <c r="A1" s="55" t="s">
        <v>0</v>
      </c>
      <c r="B1" s="56">
        <v>45748</v>
      </c>
      <c r="C1" s="57"/>
      <c r="E1" s="136" t="s">
        <v>1</v>
      </c>
      <c r="F1" s="137"/>
      <c r="G1" s="137"/>
      <c r="H1" s="138" t="s">
        <v>2</v>
      </c>
      <c r="I1" s="139"/>
      <c r="J1" s="139"/>
      <c r="K1" s="139"/>
      <c r="L1" s="139"/>
      <c r="M1" s="140"/>
      <c r="N1" s="141" t="s">
        <v>3</v>
      </c>
      <c r="O1" s="142"/>
      <c r="P1" s="142"/>
      <c r="Q1" s="142"/>
      <c r="R1" s="142"/>
      <c r="S1" s="142"/>
      <c r="T1" s="142"/>
      <c r="U1" s="143"/>
    </row>
    <row r="2" spans="1:22" x14ac:dyDescent="0.2">
      <c r="A2" s="58"/>
      <c r="C2" s="59"/>
      <c r="E2" s="8"/>
      <c r="F2" s="9"/>
      <c r="G2" s="9"/>
      <c r="H2" s="28"/>
      <c r="I2" s="29"/>
      <c r="J2" s="29"/>
      <c r="K2" s="29"/>
      <c r="L2" s="29"/>
      <c r="M2" s="30"/>
      <c r="N2" s="50"/>
      <c r="O2" s="38"/>
      <c r="P2" s="38"/>
      <c r="Q2" s="38"/>
      <c r="R2" s="38"/>
      <c r="S2" s="38"/>
      <c r="T2" s="38"/>
      <c r="U2" s="51"/>
    </row>
    <row r="3" spans="1:22" ht="34" x14ac:dyDescent="0.3">
      <c r="A3" s="60" t="s">
        <v>4</v>
      </c>
      <c r="B3" s="3" t="s">
        <v>5</v>
      </c>
      <c r="C3" s="61" t="s">
        <v>6</v>
      </c>
      <c r="E3" s="10" t="s">
        <v>7</v>
      </c>
      <c r="F3" s="7" t="s">
        <v>8</v>
      </c>
      <c r="G3" s="7" t="s">
        <v>9</v>
      </c>
      <c r="H3" s="31" t="s">
        <v>10</v>
      </c>
      <c r="I3" s="32">
        <v>45931</v>
      </c>
      <c r="J3" s="32">
        <v>46113</v>
      </c>
      <c r="K3" s="32">
        <v>46296</v>
      </c>
      <c r="L3" s="32">
        <v>46478</v>
      </c>
      <c r="M3" s="32">
        <v>46661</v>
      </c>
      <c r="N3" s="36" t="s">
        <v>10</v>
      </c>
      <c r="O3" s="37">
        <v>45839</v>
      </c>
      <c r="P3" s="37">
        <v>46023</v>
      </c>
      <c r="Q3" s="37">
        <v>46204</v>
      </c>
      <c r="R3" s="37">
        <v>46388</v>
      </c>
      <c r="S3" s="37">
        <v>46569</v>
      </c>
      <c r="T3" s="37">
        <v>46753</v>
      </c>
      <c r="U3" s="52">
        <v>46935</v>
      </c>
    </row>
    <row r="4" spans="1:22" ht="34" x14ac:dyDescent="0.3">
      <c r="A4" s="62" t="s">
        <v>11</v>
      </c>
      <c r="B4" s="4">
        <v>45778</v>
      </c>
      <c r="C4" s="63">
        <v>99.998739999999998</v>
      </c>
      <c r="D4" s="2"/>
      <c r="E4" s="11">
        <f>1/12</f>
        <v>8.3333333333333329E-2</v>
      </c>
      <c r="F4" s="85">
        <f>C4/100</f>
        <v>0.99998739999999997</v>
      </c>
      <c r="G4" s="78">
        <f>(F4 ^ -(1/E4)) - 1</f>
        <v>1.5121238400839232E-4</v>
      </c>
      <c r="H4" s="31" t="s">
        <v>12</v>
      </c>
      <c r="I4" s="34">
        <v>0.5</v>
      </c>
      <c r="J4" s="29">
        <v>1</v>
      </c>
      <c r="K4" s="29">
        <v>1.5</v>
      </c>
      <c r="L4" s="29">
        <v>2</v>
      </c>
      <c r="M4" s="29">
        <v>2.5</v>
      </c>
      <c r="N4" s="36" t="s">
        <v>13</v>
      </c>
      <c r="O4" s="91">
        <f>(O3-$B$1)/365</f>
        <v>0.24931506849315069</v>
      </c>
      <c r="P4" s="91">
        <f t="shared" ref="P4:U4" si="0">(P3-$B$1)/365</f>
        <v>0.75342465753424659</v>
      </c>
      <c r="Q4" s="91">
        <f t="shared" si="0"/>
        <v>1.2493150684931507</v>
      </c>
      <c r="R4" s="91">
        <f t="shared" si="0"/>
        <v>1.7534246575342465</v>
      </c>
      <c r="S4" s="91">
        <f>(S3-$B$1)/365</f>
        <v>2.2493150684931509</v>
      </c>
      <c r="T4" s="91">
        <f t="shared" si="0"/>
        <v>2.7534246575342465</v>
      </c>
      <c r="U4" s="91">
        <f t="shared" si="0"/>
        <v>3.2520547945205478</v>
      </c>
    </row>
    <row r="5" spans="1:22" ht="26" x14ac:dyDescent="0.3">
      <c r="A5" s="62" t="s">
        <v>11</v>
      </c>
      <c r="B5" s="4">
        <v>45901</v>
      </c>
      <c r="C5" s="63">
        <v>99.825000000000003</v>
      </c>
      <c r="D5" s="2"/>
      <c r="E5" s="11">
        <f>5/12</f>
        <v>0.41666666666666669</v>
      </c>
      <c r="F5" s="85">
        <f>C5/100</f>
        <v>0.99825000000000008</v>
      </c>
      <c r="G5" s="78">
        <f t="shared" ref="G5:G7" si="1">(F5 ^ -(1/E5)) - 1</f>
        <v>4.2125271464366065E-3</v>
      </c>
      <c r="H5" s="31" t="s">
        <v>14</v>
      </c>
      <c r="I5" s="29">
        <f>(0.0135*100)</f>
        <v>1.35</v>
      </c>
      <c r="J5" s="29">
        <f t="shared" ref="J5:L5" si="2">(0.0135*100)</f>
        <v>1.35</v>
      </c>
      <c r="K5" s="29">
        <f t="shared" si="2"/>
        <v>1.35</v>
      </c>
      <c r="L5" s="29">
        <f t="shared" si="2"/>
        <v>1.35</v>
      </c>
      <c r="M5" s="29">
        <f>(0.0135*100 + 100)</f>
        <v>101.35</v>
      </c>
      <c r="N5" s="36" t="s">
        <v>14</v>
      </c>
      <c r="O5" s="38">
        <f>0.0025*100</f>
        <v>0.25</v>
      </c>
      <c r="P5" s="38">
        <f t="shared" ref="P5:T5" si="3">0.0025*100</f>
        <v>0.25</v>
      </c>
      <c r="Q5" s="38">
        <f t="shared" si="3"/>
        <v>0.25</v>
      </c>
      <c r="R5" s="38">
        <f t="shared" si="3"/>
        <v>0.25</v>
      </c>
      <c r="S5" s="38">
        <f t="shared" si="3"/>
        <v>0.25</v>
      </c>
      <c r="T5" s="38">
        <f t="shared" si="3"/>
        <v>0.25</v>
      </c>
      <c r="U5" s="51">
        <f>100+0.0025*100</f>
        <v>100.25</v>
      </c>
    </row>
    <row r="6" spans="1:22" ht="26" x14ac:dyDescent="0.3">
      <c r="A6" s="62" t="s">
        <v>11</v>
      </c>
      <c r="B6" s="4">
        <v>45931</v>
      </c>
      <c r="C6" s="63">
        <v>99.707899999999995</v>
      </c>
      <c r="D6" s="2"/>
      <c r="E6" s="11">
        <f>6/12</f>
        <v>0.5</v>
      </c>
      <c r="F6" s="85">
        <f>C6/100</f>
        <v>0.99707899999999994</v>
      </c>
      <c r="G6" s="78">
        <f t="shared" si="1"/>
        <v>5.8676967789799139E-3</v>
      </c>
      <c r="H6" s="31" t="s">
        <v>15</v>
      </c>
      <c r="I6" s="114">
        <f>I5*(1+G6)^(-I4)</f>
        <v>1.3460566499999997</v>
      </c>
      <c r="J6" s="144" t="s">
        <v>16</v>
      </c>
      <c r="K6" s="144"/>
      <c r="L6" s="144"/>
      <c r="M6" s="23" t="s">
        <v>17</v>
      </c>
      <c r="N6" s="36" t="s">
        <v>9</v>
      </c>
      <c r="O6" s="78">
        <f>((E5-O4)*G4 + (O4-E4)*G5 )/ (E5-E4)</f>
        <v>2.1735245979024411E-3</v>
      </c>
      <c r="P6" s="78">
        <f>G7</f>
        <v>1.3036279319655009E-2</v>
      </c>
      <c r="Q6" s="78">
        <f>($J$9- $J$8)/($I$9- $I$8)*(Q4-$I$8) + $J$8</f>
        <v>2.049846732678132E-2</v>
      </c>
      <c r="R6" s="78">
        <f>($J$9- $J$8)/($I$9- $I$8)*(R4-$I$8) + $J$8</f>
        <v>2.2037604058364177E-2</v>
      </c>
      <c r="S6" s="78">
        <f>($J$9- $J$8)/($I$9- $I$8)*(S4-$I$8) + $J$8</f>
        <v>2.3551646169323405E-2</v>
      </c>
      <c r="T6" s="70" t="s">
        <v>18</v>
      </c>
      <c r="U6" s="39" t="s">
        <v>17</v>
      </c>
      <c r="V6" s="92"/>
    </row>
    <row r="7" spans="1:22" ht="26" x14ac:dyDescent="0.3">
      <c r="A7" s="62" t="s">
        <v>11</v>
      </c>
      <c r="B7" s="4">
        <v>46023</v>
      </c>
      <c r="C7" s="63">
        <v>99.033299999999997</v>
      </c>
      <c r="D7" s="2"/>
      <c r="E7" s="11">
        <f>9/12</f>
        <v>0.75</v>
      </c>
      <c r="F7" s="85">
        <f>C7/100</f>
        <v>0.99033300000000002</v>
      </c>
      <c r="G7" s="78">
        <f t="shared" si="1"/>
        <v>1.3036279319655009E-2</v>
      </c>
      <c r="H7" s="31"/>
      <c r="I7" s="90" t="s">
        <v>19</v>
      </c>
      <c r="J7" s="74"/>
      <c r="K7" s="29"/>
      <c r="L7" s="29"/>
      <c r="M7" s="30"/>
      <c r="N7" s="36" t="s">
        <v>20</v>
      </c>
      <c r="O7" s="77">
        <f>O5*(1+O6)^(-O4)</f>
        <v>0.24986471052527606</v>
      </c>
      <c r="P7" s="77">
        <f>P5*(1+P6)^(-P4)</f>
        <v>0.24757226836768814</v>
      </c>
      <c r="Q7" s="77">
        <f>Q5*(1+Q6)^(-Q4)</f>
        <v>0.24374212805995771</v>
      </c>
      <c r="R7" s="77">
        <f>R5*(1+R6)^(-R4)</f>
        <v>0.24062489441688673</v>
      </c>
      <c r="S7" s="77">
        <f>S5*(1+S6)^(-S4)</f>
        <v>0.23724658550239192</v>
      </c>
      <c r="T7" s="38"/>
      <c r="U7" s="51"/>
    </row>
    <row r="8" spans="1:22" ht="27" thickBot="1" x14ac:dyDescent="0.35">
      <c r="A8" s="62" t="s">
        <v>11</v>
      </c>
      <c r="B8" s="4">
        <v>46082</v>
      </c>
      <c r="C8" s="63">
        <v>98.245900000000006</v>
      </c>
      <c r="D8" s="2"/>
      <c r="E8" s="11">
        <f>11/12</f>
        <v>0.91666666666666663</v>
      </c>
      <c r="F8" s="86">
        <f>C8/100</f>
        <v>0.98245900000000008</v>
      </c>
      <c r="G8" s="78">
        <f>(F8^-(1/E8))-1</f>
        <v>1.9493009527127736E-2</v>
      </c>
      <c r="H8" s="33" t="s">
        <v>21</v>
      </c>
      <c r="I8" s="16">
        <v>0.92</v>
      </c>
      <c r="J8" s="17">
        <f>G8</f>
        <v>1.9493009527127736E-2</v>
      </c>
      <c r="K8" s="18"/>
      <c r="L8" s="19"/>
      <c r="M8" s="30"/>
      <c r="N8" s="36"/>
      <c r="O8" s="38"/>
      <c r="P8" s="38"/>
      <c r="Q8" s="38"/>
      <c r="R8" s="38"/>
      <c r="S8" s="38"/>
      <c r="T8" s="38"/>
      <c r="U8" s="51"/>
    </row>
    <row r="9" spans="1:22" ht="26" x14ac:dyDescent="0.3">
      <c r="A9" s="64">
        <v>2.7E-2</v>
      </c>
      <c r="B9" s="5">
        <v>46661</v>
      </c>
      <c r="C9" s="65">
        <v>100.71</v>
      </c>
      <c r="D9" s="2"/>
      <c r="E9" s="1"/>
      <c r="G9" s="92"/>
      <c r="H9" s="33" t="s">
        <v>22</v>
      </c>
      <c r="I9" s="20">
        <v>2.5</v>
      </c>
      <c r="J9" s="109">
        <v>2.4317032098344227E-2</v>
      </c>
      <c r="K9" s="22" t="s">
        <v>17</v>
      </c>
      <c r="L9" s="23"/>
      <c r="M9" s="30"/>
      <c r="N9" s="50"/>
      <c r="O9" s="40" t="s">
        <v>22</v>
      </c>
      <c r="P9" s="41">
        <v>2.5</v>
      </c>
      <c r="Q9" s="110">
        <f>J9</f>
        <v>2.4317032098344227E-2</v>
      </c>
      <c r="R9" s="43"/>
      <c r="S9" s="44"/>
      <c r="T9" s="38"/>
      <c r="U9" s="51"/>
    </row>
    <row r="10" spans="1:22" ht="26" x14ac:dyDescent="0.3">
      <c r="A10" s="87">
        <v>5.0000000000000001E-3</v>
      </c>
      <c r="B10" s="6">
        <v>46935</v>
      </c>
      <c r="C10" s="66">
        <v>93.67</v>
      </c>
      <c r="D10" s="1"/>
      <c r="H10" s="24" t="s">
        <v>19</v>
      </c>
      <c r="I10" s="12">
        <v>1</v>
      </c>
      <c r="J10" s="12">
        <v>1.5</v>
      </c>
      <c r="K10" s="12">
        <v>2</v>
      </c>
      <c r="L10" s="12">
        <v>2.5</v>
      </c>
      <c r="M10" s="13"/>
      <c r="N10" s="50"/>
      <c r="O10" s="45" t="s">
        <v>23</v>
      </c>
      <c r="P10" s="46">
        <v>3.25</v>
      </c>
      <c r="Q10" s="111">
        <v>2.5603033830153967E-2</v>
      </c>
      <c r="R10" s="48"/>
      <c r="S10" s="49" t="s">
        <v>17</v>
      </c>
      <c r="T10" s="38"/>
      <c r="U10" s="51"/>
    </row>
    <row r="11" spans="1:22" ht="26" x14ac:dyDescent="0.3">
      <c r="A11" s="67"/>
      <c r="B11" s="68"/>
      <c r="C11" s="69"/>
      <c r="D11" s="1"/>
      <c r="H11" s="25" t="s">
        <v>9</v>
      </c>
      <c r="I11" s="76">
        <f>($J$9- $J$8)/($I$9- $I$8)*(I10-$I$8) + $J$8</f>
        <v>1.9737263834531102E-2</v>
      </c>
      <c r="J11" s="76">
        <f>($J$9- $J$8)/($I$9- $I$8)*(J10-$I$8) + $J$8</f>
        <v>2.1263853255802143E-2</v>
      </c>
      <c r="K11" s="76">
        <f>($J$9- $J$8)/($I$9- $I$8)*(K10-$I$8) + $J$8</f>
        <v>2.2790442677073187E-2</v>
      </c>
      <c r="L11" s="76">
        <f>($J$9- $J$8)/($I$9- $I$8)*(L10-$I$8) + $J$8</f>
        <v>2.4317032098344227E-2</v>
      </c>
      <c r="M11" s="105"/>
      <c r="N11" s="50"/>
      <c r="O11" s="71" t="s">
        <v>19</v>
      </c>
      <c r="P11" s="42">
        <v>2.75</v>
      </c>
      <c r="Q11" s="44">
        <v>3.25</v>
      </c>
      <c r="R11" s="38"/>
      <c r="S11" s="38"/>
      <c r="T11" s="38"/>
      <c r="U11" s="51"/>
    </row>
    <row r="12" spans="1:22" ht="26" x14ac:dyDescent="0.3">
      <c r="D12" s="1"/>
      <c r="H12" s="26" t="s">
        <v>15</v>
      </c>
      <c r="I12" s="80">
        <f>J5/(1+I11)^I10</f>
        <v>1.3238704202331275</v>
      </c>
      <c r="J12" s="80">
        <f>K5/(1+J11)^J10</f>
        <v>1.3080574764385573</v>
      </c>
      <c r="K12" s="80">
        <f>L5/(1+K11)^K10</f>
        <v>1.2905072423557693</v>
      </c>
      <c r="L12" s="80">
        <f>M5/(1+L11)^L10</f>
        <v>95.44161239706726</v>
      </c>
      <c r="M12" s="27"/>
      <c r="N12" s="50"/>
      <c r="O12" s="72" t="s">
        <v>9</v>
      </c>
      <c r="P12" s="78">
        <f>((P10-P11)*Q9 + (P11-P9)*Q10 )/ (P10-P9)</f>
        <v>2.4745699342280807E-2</v>
      </c>
      <c r="Q12" s="78">
        <f>($Q10- $Q$9)/($P$10- $P$9)*(Q11-$P$9) + $Q$9</f>
        <v>2.5603033830153967E-2</v>
      </c>
      <c r="R12" s="38" t="s">
        <v>24</v>
      </c>
      <c r="S12" s="38"/>
      <c r="T12" s="38"/>
      <c r="U12" s="51"/>
    </row>
    <row r="13" spans="1:22" x14ac:dyDescent="0.2">
      <c r="H13" s="28"/>
      <c r="I13" s="29"/>
      <c r="J13" s="29"/>
      <c r="K13" s="29"/>
      <c r="L13" s="29"/>
      <c r="M13" s="30"/>
      <c r="N13" s="50"/>
      <c r="O13" s="73" t="s">
        <v>20</v>
      </c>
      <c r="P13" s="82">
        <f>T5*(1+P12)^(-P11)</f>
        <v>0.23374682564424396</v>
      </c>
      <c r="Q13" s="82">
        <f>U5*(1+Q12)^(-Q11)</f>
        <v>92.342508167540771</v>
      </c>
      <c r="R13" s="38"/>
      <c r="S13" s="38"/>
      <c r="T13" s="38"/>
      <c r="U13" s="51"/>
    </row>
    <row r="14" spans="1:22" x14ac:dyDescent="0.2">
      <c r="H14" s="28"/>
      <c r="I14" s="29" t="s">
        <v>25</v>
      </c>
      <c r="J14" s="81">
        <f>SUM(I12:L12) + I6</f>
        <v>100.71010418609471</v>
      </c>
      <c r="K14" s="29"/>
      <c r="L14" s="29"/>
      <c r="M14" s="30"/>
      <c r="N14" s="50"/>
      <c r="O14" s="38"/>
      <c r="P14" s="38"/>
      <c r="Q14" s="38"/>
      <c r="R14" s="38"/>
      <c r="S14" s="38"/>
      <c r="T14" s="38"/>
      <c r="U14" s="51"/>
    </row>
    <row r="15" spans="1:22" x14ac:dyDescent="0.2">
      <c r="H15" s="28"/>
      <c r="I15" s="29" t="s">
        <v>26</v>
      </c>
      <c r="J15" s="34">
        <v>100.71</v>
      </c>
      <c r="K15" s="29"/>
      <c r="L15" s="29"/>
      <c r="M15" s="30"/>
      <c r="N15" s="50"/>
      <c r="O15" s="38" t="s">
        <v>27</v>
      </c>
      <c r="P15" s="38"/>
      <c r="Q15" s="114">
        <f>SUM(O7:S7)+P13+Q13</f>
        <v>93.795305580057217</v>
      </c>
      <c r="R15" s="38"/>
      <c r="S15" s="38"/>
      <c r="T15" s="38"/>
      <c r="U15" s="51"/>
    </row>
    <row r="16" spans="1:22" x14ac:dyDescent="0.2">
      <c r="H16" s="28"/>
      <c r="I16" s="29"/>
      <c r="J16" s="29"/>
      <c r="K16" s="29"/>
      <c r="L16" s="29"/>
      <c r="M16" s="30"/>
      <c r="N16" s="50"/>
      <c r="O16" s="38" t="s">
        <v>26</v>
      </c>
      <c r="P16" s="38"/>
      <c r="Q16" s="79">
        <f>C10</f>
        <v>93.67</v>
      </c>
      <c r="R16" s="38"/>
      <c r="S16" s="38"/>
      <c r="T16" s="38"/>
      <c r="U16" s="51"/>
    </row>
    <row r="17" spans="8:21" x14ac:dyDescent="0.2">
      <c r="H17" s="28"/>
      <c r="I17" s="22" t="s">
        <v>28</v>
      </c>
      <c r="J17" s="29"/>
      <c r="K17" s="29"/>
      <c r="L17" s="29" t="s">
        <v>29</v>
      </c>
      <c r="M17" s="83">
        <f>J15-J14</f>
        <v>-1.0418609471685158E-4</v>
      </c>
      <c r="N17" s="50"/>
      <c r="O17" s="38" t="s">
        <v>30</v>
      </c>
      <c r="P17" s="38"/>
      <c r="Q17" s="79">
        <f>1/4* 0.005*100</f>
        <v>0.125</v>
      </c>
      <c r="R17" s="38"/>
      <c r="S17" s="38"/>
      <c r="T17" s="38"/>
      <c r="U17" s="51"/>
    </row>
    <row r="18" spans="8:21" x14ac:dyDescent="0.2">
      <c r="H18" s="14"/>
      <c r="I18" s="15"/>
      <c r="J18" s="15"/>
      <c r="K18" s="15"/>
      <c r="L18" s="15"/>
      <c r="M18" s="35"/>
      <c r="N18" s="53"/>
      <c r="O18" s="47"/>
      <c r="P18" s="47"/>
      <c r="Q18" s="47"/>
      <c r="R18" s="47"/>
      <c r="S18" s="47" t="s">
        <v>29</v>
      </c>
      <c r="T18" s="84">
        <f>Q16-Q15+Q17</f>
        <v>-3.0558005721559311E-4</v>
      </c>
      <c r="U18" s="54"/>
    </row>
  </sheetData>
  <mergeCells count="4">
    <mergeCell ref="E1:G1"/>
    <mergeCell ref="H1:M1"/>
    <mergeCell ref="N1:U1"/>
    <mergeCell ref="J6:L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29FF-484C-5F47-928E-0580CEC7AE88}">
  <sheetPr>
    <tabColor rgb="FFFFC000"/>
  </sheetPr>
  <dimension ref="A1:G15"/>
  <sheetViews>
    <sheetView zoomScale="143" workbookViewId="0">
      <selection activeCell="C15" sqref="C15"/>
    </sheetView>
  </sheetViews>
  <sheetFormatPr baseColWidth="10" defaultColWidth="11.5" defaultRowHeight="15" x14ac:dyDescent="0.2"/>
  <sheetData>
    <row r="1" spans="1:7" x14ac:dyDescent="0.2">
      <c r="A1" s="145" t="s">
        <v>31</v>
      </c>
      <c r="B1" s="146"/>
      <c r="C1" s="146"/>
      <c r="D1" s="146"/>
      <c r="E1" s="146"/>
      <c r="F1" s="146"/>
      <c r="G1" s="146"/>
    </row>
    <row r="2" spans="1:7" x14ac:dyDescent="0.2">
      <c r="A2" s="28"/>
      <c r="B2" s="29"/>
      <c r="C2" s="29"/>
      <c r="D2" s="29"/>
      <c r="E2" s="29"/>
      <c r="F2" s="30"/>
      <c r="G2" s="30"/>
    </row>
    <row r="3" spans="1:7" ht="16" x14ac:dyDescent="0.2">
      <c r="A3" s="31" t="s">
        <v>10</v>
      </c>
      <c r="B3" s="32"/>
      <c r="C3" s="32"/>
      <c r="D3" s="32">
        <v>45931</v>
      </c>
      <c r="E3" s="32">
        <v>46113</v>
      </c>
      <c r="F3" s="32">
        <v>46296</v>
      </c>
      <c r="G3" s="32">
        <v>46478</v>
      </c>
    </row>
    <row r="4" spans="1:7" ht="16" x14ac:dyDescent="0.2">
      <c r="A4" s="31" t="s">
        <v>12</v>
      </c>
      <c r="B4" s="34"/>
      <c r="C4" s="29"/>
      <c r="D4" s="29">
        <v>0.5</v>
      </c>
      <c r="E4" s="29">
        <v>1</v>
      </c>
      <c r="F4" s="29">
        <v>1.5</v>
      </c>
      <c r="G4" s="29">
        <v>2</v>
      </c>
    </row>
    <row r="5" spans="1:7" ht="16" x14ac:dyDescent="0.2">
      <c r="A5" s="31" t="s">
        <v>14</v>
      </c>
      <c r="B5" s="29"/>
      <c r="C5" s="29"/>
      <c r="D5" s="29">
        <f>(0.01*100)</f>
        <v>1</v>
      </c>
      <c r="E5" s="29">
        <f>(0.01*100)</f>
        <v>1</v>
      </c>
      <c r="F5" s="29">
        <f>(0.01*100)</f>
        <v>1</v>
      </c>
      <c r="G5" s="29">
        <f>(0.01*100)+100</f>
        <v>101</v>
      </c>
    </row>
    <row r="6" spans="1:7" ht="16" x14ac:dyDescent="0.2">
      <c r="A6" s="121" t="s">
        <v>15</v>
      </c>
      <c r="B6" s="9"/>
      <c r="C6" s="9"/>
      <c r="D6" s="9">
        <f>D5*(1+'curva_i (punto 1)'!G6)^(-0.5)</f>
        <v>0.99707899999999983</v>
      </c>
      <c r="E6" s="9">
        <f>E5*(1+'curva_i (punto 1)'!I11)^(-1)</f>
        <v>0.9806447557282425</v>
      </c>
      <c r="F6" s="9">
        <f>F5*(1+'curva_i (punto 1)'!J11)^(-1.5)</f>
        <v>0.96893146402856101</v>
      </c>
      <c r="G6" s="9">
        <f>G5*(1+'curva_i (punto 1)'!K11)^(-2)</f>
        <v>96.549060354024206</v>
      </c>
    </row>
    <row r="7" spans="1:7" x14ac:dyDescent="0.2">
      <c r="A7" s="31"/>
      <c r="B7" s="90"/>
      <c r="C7" s="74"/>
      <c r="D7" s="29"/>
      <c r="E7" s="29"/>
      <c r="F7" s="30"/>
      <c r="G7" s="30"/>
    </row>
    <row r="8" spans="1:7" x14ac:dyDescent="0.2">
      <c r="A8" s="33" t="s">
        <v>32</v>
      </c>
      <c r="B8" s="16"/>
      <c r="C8" s="16"/>
      <c r="D8" s="120">
        <f t="shared" ref="D8:F8" si="0">D4*D6</f>
        <v>0.49853949999999991</v>
      </c>
      <c r="E8" s="120">
        <f t="shared" si="0"/>
        <v>0.9806447557282425</v>
      </c>
      <c r="F8" s="120">
        <f t="shared" si="0"/>
        <v>1.4533971960428416</v>
      </c>
      <c r="G8" s="120">
        <f>G4*G6</f>
        <v>193.09812070804841</v>
      </c>
    </row>
    <row r="9" spans="1:7" x14ac:dyDescent="0.2">
      <c r="A9" s="33"/>
      <c r="B9" s="20"/>
      <c r="C9" s="21"/>
      <c r="D9" s="29"/>
      <c r="E9" s="30"/>
      <c r="F9" s="30"/>
      <c r="G9" s="30"/>
    </row>
    <row r="10" spans="1:7" ht="32" x14ac:dyDescent="0.2">
      <c r="A10" s="24" t="s">
        <v>33</v>
      </c>
      <c r="B10" s="18"/>
      <c r="C10" s="18"/>
      <c r="D10" s="12">
        <f>D4*(D4+1)*D5*(1+0.021286)^(-'punto 1'!D4-2)</f>
        <v>0.71152934662087197</v>
      </c>
      <c r="E10" s="12">
        <f>E4*(E4+1)*E5*(1+0.022801)^(-'punto 1'!E4-2)</f>
        <v>1.8692034062234704</v>
      </c>
      <c r="F10" s="12">
        <f>F4*(F4+1)*F5*(1+0.024317)^(-'punto 1'!F4-2)</f>
        <v>3.4475528771853883</v>
      </c>
      <c r="G10" s="12">
        <f>G4*(G4+1)*G5*(1+0.025208308)^(-'punto 1'!G4-2)</f>
        <v>548.56002526388841</v>
      </c>
    </row>
    <row r="11" spans="1:7" x14ac:dyDescent="0.2">
      <c r="A11" s="28"/>
      <c r="B11" s="29"/>
      <c r="C11" s="29"/>
      <c r="D11" s="29"/>
      <c r="E11" s="29"/>
      <c r="F11" s="29"/>
      <c r="G11" s="29"/>
    </row>
    <row r="12" spans="1:7" x14ac:dyDescent="0.2">
      <c r="A12" s="28"/>
      <c r="B12" s="116" t="s">
        <v>26</v>
      </c>
      <c r="C12" s="123">
        <f>SUM(D6:G6)</f>
        <v>99.495715573781013</v>
      </c>
      <c r="D12" s="29"/>
      <c r="E12" s="29"/>
      <c r="F12" s="29"/>
      <c r="G12" s="29"/>
    </row>
    <row r="13" spans="1:7" x14ac:dyDescent="0.2">
      <c r="A13" s="28"/>
      <c r="B13" s="117"/>
      <c r="C13" s="29"/>
      <c r="D13" s="29"/>
      <c r="E13" s="29"/>
      <c r="F13" s="29"/>
      <c r="G13" s="29"/>
    </row>
    <row r="14" spans="1:7" x14ac:dyDescent="0.2">
      <c r="A14" s="28"/>
      <c r="B14" s="116" t="s">
        <v>34</v>
      </c>
      <c r="C14" s="123">
        <f>SUM(D8:G8)/C12</f>
        <v>1.9702426484329669</v>
      </c>
      <c r="D14" s="29"/>
      <c r="E14" s="29"/>
      <c r="F14" s="29"/>
      <c r="G14" s="29"/>
    </row>
    <row r="15" spans="1:7" x14ac:dyDescent="0.2">
      <c r="A15" s="14"/>
      <c r="B15" s="118" t="s">
        <v>35</v>
      </c>
      <c r="C15" s="124">
        <f>SUM(D10:G10)/C12</f>
        <v>5.5739918819184062</v>
      </c>
      <c r="D15" s="15"/>
      <c r="E15" s="15"/>
      <c r="F15" s="29"/>
      <c r="G15" s="29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7DAE3-3DE1-8144-8FB9-6F739D6177C6}">
  <sheetPr>
    <tabColor theme="7" tint="0.39997558519241921"/>
  </sheetPr>
  <dimension ref="A1:AD22"/>
  <sheetViews>
    <sheetView topLeftCell="T1" zoomScale="125" zoomScaleNormal="75" workbookViewId="0">
      <selection activeCell="Q15" sqref="Q15"/>
    </sheetView>
  </sheetViews>
  <sheetFormatPr baseColWidth="10" defaultColWidth="8.83203125" defaultRowHeight="15" x14ac:dyDescent="0.2"/>
  <cols>
    <col min="1" max="1" width="22.33203125" customWidth="1"/>
    <col min="2" max="2" width="26.5" customWidth="1"/>
    <col min="3" max="3" width="20.83203125" customWidth="1"/>
    <col min="4" max="4" width="7" customWidth="1"/>
    <col min="5" max="5" width="15.5" customWidth="1"/>
    <col min="6" max="6" width="9.6640625" bestFit="1" customWidth="1"/>
    <col min="7" max="7" width="34.6640625" bestFit="1" customWidth="1"/>
    <col min="8" max="8" width="12" bestFit="1" customWidth="1"/>
    <col min="9" max="9" width="20.5" bestFit="1" customWidth="1"/>
    <col min="10" max="11" width="9" customWidth="1"/>
    <col min="12" max="12" width="10.33203125" customWidth="1"/>
    <col min="13" max="13" width="9" customWidth="1"/>
    <col min="14" max="14" width="10.5" customWidth="1"/>
    <col min="15" max="15" width="9" customWidth="1"/>
    <col min="16" max="16" width="9.5" customWidth="1"/>
    <col min="17" max="17" width="12.1640625" customWidth="1"/>
    <col min="18" max="18" width="9.6640625" bestFit="1" customWidth="1"/>
    <col min="19" max="19" width="10.33203125" customWidth="1"/>
    <col min="20" max="20" width="9.6640625" bestFit="1" customWidth="1"/>
    <col min="24" max="24" width="13.5" customWidth="1"/>
    <col min="25" max="25" width="12.1640625" customWidth="1"/>
    <col min="30" max="30" width="10.1640625" customWidth="1"/>
  </cols>
  <sheetData>
    <row r="1" spans="1:30" ht="26" x14ac:dyDescent="0.3">
      <c r="A1" s="55" t="s">
        <v>0</v>
      </c>
      <c r="B1" s="56">
        <v>45748</v>
      </c>
      <c r="C1" s="57"/>
      <c r="E1" s="136" t="s">
        <v>45</v>
      </c>
      <c r="F1" s="137"/>
      <c r="G1" s="137"/>
      <c r="H1" s="138" t="s">
        <v>2</v>
      </c>
      <c r="I1" s="139"/>
      <c r="J1" s="139"/>
      <c r="K1" s="139"/>
      <c r="L1" s="139"/>
      <c r="M1" s="140"/>
      <c r="N1" s="141" t="s">
        <v>3</v>
      </c>
      <c r="O1" s="142"/>
      <c r="P1" s="142"/>
      <c r="Q1" s="142"/>
      <c r="R1" s="142"/>
      <c r="S1" s="142"/>
      <c r="T1" s="142"/>
      <c r="U1" s="143"/>
      <c r="X1" s="147" t="s">
        <v>44</v>
      </c>
      <c r="Y1" s="148"/>
      <c r="Z1" s="148"/>
      <c r="AA1" s="148"/>
      <c r="AB1" s="148"/>
      <c r="AC1" s="148"/>
      <c r="AD1" s="148"/>
    </row>
    <row r="2" spans="1:30" x14ac:dyDescent="0.2">
      <c r="A2" s="58"/>
      <c r="C2" s="59"/>
      <c r="E2" s="8"/>
      <c r="F2" s="9"/>
      <c r="G2" s="9"/>
      <c r="H2" s="28"/>
      <c r="I2" s="29"/>
      <c r="J2" s="29"/>
      <c r="K2" s="29"/>
      <c r="L2" s="29"/>
      <c r="M2" s="30"/>
      <c r="N2" s="50"/>
      <c r="O2" s="38"/>
      <c r="P2" s="38"/>
      <c r="Q2" s="38"/>
      <c r="R2" s="38"/>
      <c r="S2" s="38"/>
      <c r="T2" s="38"/>
      <c r="U2" s="51"/>
      <c r="X2" s="106"/>
      <c r="Y2" s="99"/>
      <c r="Z2" s="99"/>
      <c r="AA2" s="99"/>
      <c r="AB2" s="99"/>
      <c r="AC2" s="99"/>
      <c r="AD2" s="99"/>
    </row>
    <row r="3" spans="1:30" ht="34" x14ac:dyDescent="0.3">
      <c r="A3" s="60" t="s">
        <v>4</v>
      </c>
      <c r="B3" s="3" t="s">
        <v>5</v>
      </c>
      <c r="C3" s="61" t="s">
        <v>6</v>
      </c>
      <c r="E3" s="10" t="s">
        <v>7</v>
      </c>
      <c r="F3" s="7" t="s">
        <v>8</v>
      </c>
      <c r="G3" s="7" t="s">
        <v>9</v>
      </c>
      <c r="H3" s="31" t="s">
        <v>10</v>
      </c>
      <c r="I3" s="32">
        <v>45931</v>
      </c>
      <c r="J3" s="32">
        <v>46113</v>
      </c>
      <c r="K3" s="32">
        <v>46296</v>
      </c>
      <c r="L3" s="32">
        <v>46478</v>
      </c>
      <c r="M3" s="32">
        <v>46661</v>
      </c>
      <c r="N3" s="36" t="s">
        <v>10</v>
      </c>
      <c r="O3" s="37">
        <v>45839</v>
      </c>
      <c r="P3" s="37">
        <v>46023</v>
      </c>
      <c r="Q3" s="37">
        <v>46204</v>
      </c>
      <c r="R3" s="37">
        <v>46388</v>
      </c>
      <c r="S3" s="37">
        <v>46569</v>
      </c>
      <c r="T3" s="37">
        <v>46753</v>
      </c>
      <c r="U3" s="52">
        <v>46935</v>
      </c>
      <c r="X3" s="107" t="s">
        <v>10</v>
      </c>
      <c r="Y3" s="98"/>
      <c r="Z3" s="98"/>
      <c r="AA3" s="98">
        <v>45931</v>
      </c>
      <c r="AB3" s="98">
        <v>46113</v>
      </c>
      <c r="AC3" s="98">
        <v>46296</v>
      </c>
      <c r="AD3" s="98">
        <v>46478</v>
      </c>
    </row>
    <row r="4" spans="1:30" ht="34" x14ac:dyDescent="0.3">
      <c r="A4" s="62" t="s">
        <v>11</v>
      </c>
      <c r="B4" s="4">
        <v>45778</v>
      </c>
      <c r="C4" s="63">
        <v>99.998739999999998</v>
      </c>
      <c r="D4" s="2"/>
      <c r="E4" s="11">
        <f>1/12</f>
        <v>8.3333333333333329E-2</v>
      </c>
      <c r="F4" s="85">
        <f>C4/100</f>
        <v>0.99998739999999997</v>
      </c>
      <c r="G4" s="150">
        <f>((F4 ^ -(1/E4)) - 1)+0.0002</f>
        <v>3.512123840083923E-4</v>
      </c>
      <c r="H4" s="31" t="s">
        <v>12</v>
      </c>
      <c r="I4" s="34">
        <v>0.5</v>
      </c>
      <c r="J4" s="29">
        <v>1</v>
      </c>
      <c r="K4" s="29">
        <v>1.5</v>
      </c>
      <c r="L4" s="29">
        <v>2</v>
      </c>
      <c r="M4" s="29">
        <v>2.5</v>
      </c>
      <c r="N4" s="36" t="s">
        <v>13</v>
      </c>
      <c r="O4" s="91">
        <f>(O3-$B$1)/365</f>
        <v>0.24931506849315069</v>
      </c>
      <c r="P4" s="91">
        <f t="shared" ref="P4:U4" si="0">(P3-$B$1)/365</f>
        <v>0.75342465753424659</v>
      </c>
      <c r="Q4" s="91">
        <f t="shared" si="0"/>
        <v>1.2493150684931507</v>
      </c>
      <c r="R4" s="91">
        <f t="shared" si="0"/>
        <v>1.7534246575342465</v>
      </c>
      <c r="S4" s="91">
        <f>(S3-$B$1)/365</f>
        <v>2.2493150684931509</v>
      </c>
      <c r="T4" s="91">
        <f t="shared" si="0"/>
        <v>2.7534246575342465</v>
      </c>
      <c r="U4" s="91">
        <f t="shared" si="0"/>
        <v>3.2520547945205478</v>
      </c>
      <c r="X4" s="107" t="s">
        <v>12</v>
      </c>
      <c r="Y4" s="102"/>
      <c r="Z4" s="99"/>
      <c r="AA4" s="99">
        <v>0.5</v>
      </c>
      <c r="AB4" s="99">
        <v>1</v>
      </c>
      <c r="AC4" s="99">
        <v>1.5</v>
      </c>
      <c r="AD4" s="99">
        <v>2</v>
      </c>
    </row>
    <row r="5" spans="1:30" ht="26" x14ac:dyDescent="0.3">
      <c r="A5" s="62" t="s">
        <v>11</v>
      </c>
      <c r="B5" s="4">
        <v>45901</v>
      </c>
      <c r="C5" s="63">
        <v>99.825000000000003</v>
      </c>
      <c r="D5" s="2"/>
      <c r="E5" s="11">
        <f>5/12</f>
        <v>0.41666666666666669</v>
      </c>
      <c r="F5" s="85">
        <f>C5/100</f>
        <v>0.99825000000000008</v>
      </c>
      <c r="G5" s="150">
        <f t="shared" ref="G5:G8" si="1">((F5 ^ -(1/E5)) - 1)+0.0002</f>
        <v>4.4125271464366062E-3</v>
      </c>
      <c r="H5" s="31" t="s">
        <v>14</v>
      </c>
      <c r="I5" s="29">
        <f>(0.0135*100)</f>
        <v>1.35</v>
      </c>
      <c r="J5" s="29">
        <f t="shared" ref="J5:L5" si="2">(0.0135*100)</f>
        <v>1.35</v>
      </c>
      <c r="K5" s="29">
        <f t="shared" si="2"/>
        <v>1.35</v>
      </c>
      <c r="L5" s="29">
        <f t="shared" si="2"/>
        <v>1.35</v>
      </c>
      <c r="M5" s="29">
        <f>(0.0135*100 + 100)</f>
        <v>101.35</v>
      </c>
      <c r="N5" s="36" t="s">
        <v>14</v>
      </c>
      <c r="O5" s="38">
        <f>0.0025*100</f>
        <v>0.25</v>
      </c>
      <c r="P5" s="38">
        <f t="shared" ref="P5:T5" si="3">0.0025*100</f>
        <v>0.25</v>
      </c>
      <c r="Q5" s="38">
        <f t="shared" si="3"/>
        <v>0.25</v>
      </c>
      <c r="R5" s="38">
        <f t="shared" si="3"/>
        <v>0.25</v>
      </c>
      <c r="S5" s="38">
        <f t="shared" si="3"/>
        <v>0.25</v>
      </c>
      <c r="T5" s="38">
        <f t="shared" si="3"/>
        <v>0.25</v>
      </c>
      <c r="U5" s="51">
        <f>100+0.0025*100</f>
        <v>100.25</v>
      </c>
      <c r="X5" s="107" t="s">
        <v>14</v>
      </c>
      <c r="Y5" s="99"/>
      <c r="Z5" s="99"/>
      <c r="AA5" s="99">
        <v>1</v>
      </c>
      <c r="AB5" s="99">
        <v>1</v>
      </c>
      <c r="AC5" s="99">
        <v>1</v>
      </c>
      <c r="AD5" s="99">
        <v>101</v>
      </c>
    </row>
    <row r="6" spans="1:30" ht="26" x14ac:dyDescent="0.3">
      <c r="A6" s="62" t="s">
        <v>11</v>
      </c>
      <c r="B6" s="4">
        <v>45931</v>
      </c>
      <c r="C6" s="63">
        <v>99.707899999999995</v>
      </c>
      <c r="D6" s="2"/>
      <c r="E6" s="11">
        <f>6/12</f>
        <v>0.5</v>
      </c>
      <c r="F6" s="85">
        <f>C6/100</f>
        <v>0.99707899999999994</v>
      </c>
      <c r="G6" s="150">
        <f t="shared" si="1"/>
        <v>6.0676967789799136E-3</v>
      </c>
      <c r="H6" s="31" t="s">
        <v>15</v>
      </c>
      <c r="I6" s="157">
        <f>I5*(1+ G6)^(-I4)</f>
        <v>1.3459228495054723</v>
      </c>
      <c r="J6" s="144" t="s">
        <v>16</v>
      </c>
      <c r="K6" s="144"/>
      <c r="L6" s="144"/>
      <c r="M6" s="23" t="s">
        <v>17</v>
      </c>
      <c r="N6" s="36" t="s">
        <v>9</v>
      </c>
      <c r="O6" s="78">
        <f>((E5-O4)*G4 + (O4-E4)*G5 )/ (E5-E4)</f>
        <v>2.3735245979024408E-3</v>
      </c>
      <c r="P6" s="78">
        <f>G7</f>
        <v>1.3236279319655009E-2</v>
      </c>
      <c r="Q6" s="89">
        <f>($J$9- $J$8)/($I$9- $I$8)*(Q4-$I$8) + $J$8</f>
        <v>2.0656177887144283E-2</v>
      </c>
      <c r="R6" s="89">
        <f t="shared" ref="R6:S6" si="4">($J$9- $J$8)/($I$9- $I$8)*(R4-$I$8) + $J$8</f>
        <v>2.2130578704474112E-2</v>
      </c>
      <c r="S6" s="89">
        <f t="shared" si="4"/>
        <v>2.3580940378043126E-2</v>
      </c>
      <c r="T6" s="70" t="s">
        <v>18</v>
      </c>
      <c r="U6" s="39" t="s">
        <v>17</v>
      </c>
      <c r="V6" s="92"/>
      <c r="X6" s="113" t="s">
        <v>15</v>
      </c>
      <c r="Y6" s="108"/>
      <c r="Z6" s="108"/>
      <c r="AA6" s="108">
        <f>AA5*(1+G6)^(-AA4)</f>
        <v>0.99697988852257202</v>
      </c>
      <c r="AB6" s="108">
        <f>AB5*(1+I11)^(-AB4)</f>
        <v>0.98046233631280311</v>
      </c>
      <c r="AC6" s="108">
        <f>AC5*(1+J11)^(-AC4)</f>
        <v>0.96875286156847096</v>
      </c>
      <c r="AD6" s="108">
        <f>AD5*(1+K11)^(-AD4)</f>
        <v>96.537486285126263</v>
      </c>
    </row>
    <row r="7" spans="1:30" ht="26" x14ac:dyDescent="0.3">
      <c r="A7" s="62" t="s">
        <v>11</v>
      </c>
      <c r="B7" s="4">
        <v>46023</v>
      </c>
      <c r="C7" s="63">
        <v>99.033299999999997</v>
      </c>
      <c r="D7" s="2"/>
      <c r="E7" s="11">
        <f>9/12</f>
        <v>0.75</v>
      </c>
      <c r="F7" s="85">
        <f>C7/100</f>
        <v>0.99033300000000002</v>
      </c>
      <c r="G7" s="150">
        <f t="shared" si="1"/>
        <v>1.3236279319655009E-2</v>
      </c>
      <c r="H7" s="31"/>
      <c r="I7" s="90" t="s">
        <v>19</v>
      </c>
      <c r="J7" s="74"/>
      <c r="K7" s="29"/>
      <c r="L7" s="29"/>
      <c r="M7" s="30"/>
      <c r="N7" s="36" t="s">
        <v>20</v>
      </c>
      <c r="O7" s="77">
        <f>O5*(1+O6)^(-O4)</f>
        <v>0.24985228008856672</v>
      </c>
      <c r="P7" s="77">
        <f t="shared" ref="P7:S7" si="5">P5*(1+P6)^(-P4)</f>
        <v>0.24753544939566666</v>
      </c>
      <c r="Q7" s="77">
        <f t="shared" si="5"/>
        <v>0.24369507633851845</v>
      </c>
      <c r="R7" s="77">
        <f t="shared" si="5"/>
        <v>0.24058651742444292</v>
      </c>
      <c r="S7" s="77">
        <f t="shared" si="5"/>
        <v>0.23723131328559838</v>
      </c>
      <c r="T7" s="38"/>
      <c r="U7" s="51"/>
      <c r="X7" s="106"/>
      <c r="Y7" s="99"/>
      <c r="Z7" s="99"/>
      <c r="AA7" s="99"/>
      <c r="AB7" s="99"/>
      <c r="AC7" s="99"/>
      <c r="AD7" s="99"/>
    </row>
    <row r="8" spans="1:30" ht="27" thickBot="1" x14ac:dyDescent="0.35">
      <c r="A8" s="62" t="s">
        <v>11</v>
      </c>
      <c r="B8" s="4">
        <v>46082</v>
      </c>
      <c r="C8" s="63">
        <v>98.245900000000006</v>
      </c>
      <c r="D8" s="2"/>
      <c r="E8" s="11">
        <f>11/12</f>
        <v>0.91666666666666663</v>
      </c>
      <c r="F8" s="86">
        <f>C8/100</f>
        <v>0.98245900000000008</v>
      </c>
      <c r="G8" s="150">
        <f t="shared" si="1"/>
        <v>1.9693009527127735E-2</v>
      </c>
      <c r="H8" s="33" t="s">
        <v>21</v>
      </c>
      <c r="I8" s="16">
        <v>0.92</v>
      </c>
      <c r="J8" s="17">
        <f>G8</f>
        <v>1.9693009527127735E-2</v>
      </c>
      <c r="K8" s="18"/>
      <c r="L8" s="19"/>
      <c r="M8" s="30"/>
      <c r="N8" s="36"/>
      <c r="O8" s="38"/>
      <c r="P8" s="38"/>
      <c r="Q8" s="38"/>
      <c r="R8" s="38"/>
      <c r="S8" s="38"/>
      <c r="T8" s="38"/>
      <c r="U8" s="51"/>
      <c r="X8" s="106"/>
      <c r="Y8" s="115" t="s">
        <v>26</v>
      </c>
      <c r="Z8" s="122">
        <f>SUM(AA6:AD6)</f>
        <v>99.48368137153011</v>
      </c>
      <c r="AA8" s="99"/>
      <c r="AB8" s="99"/>
      <c r="AC8" s="99"/>
      <c r="AD8" s="99"/>
    </row>
    <row r="9" spans="1:30" ht="26" x14ac:dyDescent="0.3">
      <c r="A9" s="64">
        <v>2.7E-2</v>
      </c>
      <c r="B9" s="5">
        <v>46661</v>
      </c>
      <c r="C9" s="65">
        <v>100.71</v>
      </c>
      <c r="D9" s="2"/>
      <c r="E9" s="1"/>
      <c r="H9" s="33" t="s">
        <v>22</v>
      </c>
      <c r="I9" s="20">
        <v>2.5</v>
      </c>
      <c r="J9" s="109">
        <v>2.4314134262747904E-2</v>
      </c>
      <c r="K9" s="22" t="s">
        <v>17</v>
      </c>
      <c r="L9" s="23"/>
      <c r="M9" s="30"/>
      <c r="N9" s="50"/>
      <c r="O9" s="40" t="s">
        <v>22</v>
      </c>
      <c r="P9" s="41">
        <v>2.5</v>
      </c>
      <c r="Q9" s="110">
        <f>J9</f>
        <v>2.4314134262747904E-2</v>
      </c>
      <c r="R9" s="43"/>
      <c r="S9" s="44"/>
      <c r="T9" s="38"/>
      <c r="U9" s="51"/>
    </row>
    <row r="10" spans="1:30" ht="26" x14ac:dyDescent="0.3">
      <c r="A10" s="87">
        <v>5.0000000000000001E-3</v>
      </c>
      <c r="B10" s="6">
        <v>46935</v>
      </c>
      <c r="C10" s="66">
        <v>93.67</v>
      </c>
      <c r="D10" s="1"/>
      <c r="H10" s="24" t="s">
        <v>19</v>
      </c>
      <c r="I10" s="12">
        <v>1</v>
      </c>
      <c r="J10" s="12">
        <v>1.5</v>
      </c>
      <c r="K10" s="12">
        <v>2</v>
      </c>
      <c r="L10" s="12">
        <v>2.5</v>
      </c>
      <c r="M10" s="13"/>
      <c r="N10" s="50"/>
      <c r="O10" s="45" t="s">
        <v>23</v>
      </c>
      <c r="P10" s="46">
        <v>3.25</v>
      </c>
      <c r="Q10" s="158">
        <v>2.5603980142855538E-2</v>
      </c>
      <c r="R10" s="48"/>
      <c r="S10" s="49" t="s">
        <v>17</v>
      </c>
      <c r="T10" s="38"/>
      <c r="U10" s="51"/>
    </row>
    <row r="11" spans="1:30" ht="26" x14ac:dyDescent="0.3">
      <c r="A11" s="67"/>
      <c r="B11" s="68"/>
      <c r="C11" s="69"/>
      <c r="D11" s="1"/>
      <c r="H11" s="25" t="s">
        <v>9</v>
      </c>
      <c r="I11" s="76">
        <f>($J$9- $J$8)/($I$9- $I$8)*(I10-$I$8) + $J$8</f>
        <v>1.9926990526399641E-2</v>
      </c>
      <c r="J11" s="76">
        <f t="shared" ref="J11:L11" si="6">($J$9- $J$8)/($I$9- $I$8)*(J10-$I$8) + $J$8</f>
        <v>2.1389371771849061E-2</v>
      </c>
      <c r="K11" s="76">
        <f t="shared" si="6"/>
        <v>2.2851753017298485E-2</v>
      </c>
      <c r="L11" s="76">
        <f t="shared" si="6"/>
        <v>2.4314134262747904E-2</v>
      </c>
      <c r="M11" s="105"/>
      <c r="N11" s="50"/>
      <c r="O11" s="71" t="s">
        <v>19</v>
      </c>
      <c r="P11" s="42">
        <v>2.75</v>
      </c>
      <c r="Q11" s="44">
        <v>3.25</v>
      </c>
      <c r="R11" s="38"/>
      <c r="S11" s="38"/>
      <c r="T11" s="38"/>
      <c r="U11" s="51"/>
    </row>
    <row r="12" spans="1:30" ht="26" x14ac:dyDescent="0.3">
      <c r="D12" s="1"/>
      <c r="H12" s="26" t="s">
        <v>15</v>
      </c>
      <c r="I12" s="80">
        <f>J5/(1+ I11)^I10</f>
        <v>1.3236241540222842</v>
      </c>
      <c r="J12" s="80">
        <f>K5/(1+ J11)^J10</f>
        <v>1.307816363117436</v>
      </c>
      <c r="K12" s="80">
        <f>L5/(1+ K11)^K10</f>
        <v>1.290352539454658</v>
      </c>
      <c r="L12" s="80">
        <f>M5/(1+ L11)^L10</f>
        <v>95.442287421162249</v>
      </c>
      <c r="M12" s="27"/>
      <c r="N12" s="50"/>
      <c r="O12" s="72" t="s">
        <v>9</v>
      </c>
      <c r="P12" s="88">
        <f>((P10-P11)*Q9 + (P11-P9)*Q10 )/ (P10-P9)</f>
        <v>2.4744082889450448E-2</v>
      </c>
      <c r="Q12" s="78">
        <f>($Q10- $Q$9)/($P$10- $P$9)*(Q11-$P$9) + $Q$9</f>
        <v>2.5603980142855538E-2</v>
      </c>
      <c r="R12" s="38" t="s">
        <v>24</v>
      </c>
      <c r="S12" s="38"/>
      <c r="T12" s="38"/>
      <c r="U12" s="51"/>
    </row>
    <row r="13" spans="1:30" x14ac:dyDescent="0.2">
      <c r="H13" s="28"/>
      <c r="I13" s="29"/>
      <c r="J13" s="29"/>
      <c r="K13" s="29"/>
      <c r="L13" s="29"/>
      <c r="M13" s="30"/>
      <c r="N13" s="50"/>
      <c r="O13" s="73" t="s">
        <v>20</v>
      </c>
      <c r="P13" s="82">
        <f>T5*(1+P12)^(-P11)</f>
        <v>0.2337478396178064</v>
      </c>
      <c r="Q13" s="112">
        <f>U5*(1+Q12)^(-Q11)</f>
        <v>92.342231256961341</v>
      </c>
      <c r="R13" s="38"/>
      <c r="S13" s="38"/>
      <c r="T13" s="38"/>
      <c r="U13" s="51"/>
    </row>
    <row r="14" spans="1:30" x14ac:dyDescent="0.2">
      <c r="H14" s="28"/>
      <c r="I14" s="29" t="s">
        <v>25</v>
      </c>
      <c r="J14" s="114">
        <f>SUM(I12:L12) + I6</f>
        <v>100.7100033272621</v>
      </c>
      <c r="K14" s="29"/>
      <c r="L14" s="29"/>
      <c r="M14" s="30"/>
      <c r="N14" s="50"/>
      <c r="O14" s="38"/>
      <c r="P14" s="38"/>
      <c r="Q14" s="38"/>
      <c r="R14" s="38"/>
      <c r="S14" s="38"/>
      <c r="T14" s="38"/>
      <c r="U14" s="51"/>
    </row>
    <row r="15" spans="1:30" x14ac:dyDescent="0.2">
      <c r="H15" s="28"/>
      <c r="I15" s="29" t="s">
        <v>26</v>
      </c>
      <c r="J15" s="34">
        <v>100.71</v>
      </c>
      <c r="K15" s="29"/>
      <c r="L15" s="29"/>
      <c r="M15" s="30"/>
      <c r="N15" s="50"/>
      <c r="O15" s="38" t="s">
        <v>27</v>
      </c>
      <c r="P15" s="38"/>
      <c r="Q15" s="114">
        <f>SUM(O7:S7)+P13+Q13</f>
        <v>93.794879733111941</v>
      </c>
      <c r="R15" s="38"/>
      <c r="S15" s="38"/>
      <c r="T15" s="38"/>
      <c r="U15" s="51"/>
    </row>
    <row r="16" spans="1:30" x14ac:dyDescent="0.2">
      <c r="H16" s="28"/>
      <c r="I16" s="29"/>
      <c r="J16" s="29"/>
      <c r="K16" s="29"/>
      <c r="L16" s="29"/>
      <c r="M16" s="30"/>
      <c r="N16" s="50"/>
      <c r="O16" s="38" t="s">
        <v>26</v>
      </c>
      <c r="P16" s="38"/>
      <c r="Q16" s="79">
        <f>C10</f>
        <v>93.67</v>
      </c>
      <c r="R16" s="38"/>
      <c r="S16" s="38"/>
      <c r="T16" s="38"/>
      <c r="U16" s="51"/>
    </row>
    <row r="17" spans="8:21" x14ac:dyDescent="0.2">
      <c r="H17" s="28"/>
      <c r="I17" s="22" t="s">
        <v>28</v>
      </c>
      <c r="J17" s="29"/>
      <c r="K17" s="29"/>
      <c r="L17" s="29" t="s">
        <v>29</v>
      </c>
      <c r="M17" s="83">
        <f>J15-J14</f>
        <v>-3.3272621067226282E-6</v>
      </c>
      <c r="N17" s="50"/>
      <c r="O17" s="38" t="s">
        <v>30</v>
      </c>
      <c r="P17" s="38"/>
      <c r="Q17" s="79">
        <f>1/4* 0.005*100</f>
        <v>0.125</v>
      </c>
      <c r="R17" s="38"/>
      <c r="S17" s="38"/>
      <c r="T17" s="38"/>
      <c r="U17" s="51"/>
    </row>
    <row r="18" spans="8:21" x14ac:dyDescent="0.2">
      <c r="H18" s="14"/>
      <c r="I18" s="15"/>
      <c r="J18" s="15"/>
      <c r="K18" s="15"/>
      <c r="L18" s="15"/>
      <c r="M18" s="35"/>
      <c r="N18" s="53"/>
      <c r="O18" s="47"/>
      <c r="P18" s="47"/>
      <c r="Q18" s="47"/>
      <c r="R18" s="47"/>
      <c r="S18" s="47" t="s">
        <v>29</v>
      </c>
      <c r="T18" s="159">
        <f>Q16-Q15+Q17</f>
        <v>1.2026688806088259E-4</v>
      </c>
      <c r="U18" s="54"/>
    </row>
    <row r="22" spans="8:21" x14ac:dyDescent="0.2">
      <c r="O22" s="75"/>
    </row>
  </sheetData>
  <mergeCells count="5">
    <mergeCell ref="E1:G1"/>
    <mergeCell ref="H1:M1"/>
    <mergeCell ref="N1:U1"/>
    <mergeCell ref="J6:L6"/>
    <mergeCell ref="X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C1A46-0BAA-374C-A34B-31B0CB790A8B}">
  <sheetPr>
    <tabColor theme="7" tint="0.39997558519241921"/>
  </sheetPr>
  <dimension ref="A1:AD22"/>
  <sheetViews>
    <sheetView topLeftCell="P1" zoomScale="125" zoomScaleNormal="75" workbookViewId="0">
      <selection activeCell="Q15" sqref="Q15"/>
    </sheetView>
  </sheetViews>
  <sheetFormatPr baseColWidth="10" defaultColWidth="8.83203125" defaultRowHeight="15" x14ac:dyDescent="0.2"/>
  <cols>
    <col min="1" max="1" width="22.33203125" customWidth="1"/>
    <col min="2" max="2" width="26.5" customWidth="1"/>
    <col min="3" max="3" width="20.83203125" customWidth="1"/>
    <col min="4" max="4" width="7" customWidth="1"/>
    <col min="5" max="5" width="15.5" customWidth="1"/>
    <col min="6" max="6" width="9.6640625" bestFit="1" customWidth="1"/>
    <col min="7" max="7" width="34.6640625" bestFit="1" customWidth="1"/>
    <col min="8" max="8" width="12" bestFit="1" customWidth="1"/>
    <col min="9" max="9" width="20.5" bestFit="1" customWidth="1"/>
    <col min="10" max="11" width="9" customWidth="1"/>
    <col min="12" max="12" width="10.33203125" customWidth="1"/>
    <col min="13" max="13" width="9" customWidth="1"/>
    <col min="14" max="14" width="10.5" customWidth="1"/>
    <col min="15" max="15" width="9" customWidth="1"/>
    <col min="16" max="16" width="9.5" customWidth="1"/>
    <col min="17" max="17" width="12.1640625" customWidth="1"/>
    <col min="18" max="18" width="9.6640625" bestFit="1" customWidth="1"/>
    <col min="19" max="19" width="10.33203125" customWidth="1"/>
    <col min="20" max="20" width="9.6640625" bestFit="1" customWidth="1"/>
    <col min="24" max="24" width="13.5" customWidth="1"/>
    <col min="25" max="25" width="12.1640625" customWidth="1"/>
    <col min="30" max="30" width="10.1640625" customWidth="1"/>
  </cols>
  <sheetData>
    <row r="1" spans="1:30" ht="26" x14ac:dyDescent="0.3">
      <c r="A1" s="55" t="s">
        <v>0</v>
      </c>
      <c r="B1" s="56">
        <v>45748</v>
      </c>
      <c r="C1" s="57"/>
      <c r="E1" s="136" t="s">
        <v>46</v>
      </c>
      <c r="F1" s="137"/>
      <c r="G1" s="137"/>
      <c r="H1" s="138" t="s">
        <v>2</v>
      </c>
      <c r="I1" s="139"/>
      <c r="J1" s="139"/>
      <c r="K1" s="139"/>
      <c r="L1" s="139"/>
      <c r="M1" s="140"/>
      <c r="N1" s="141" t="s">
        <v>3</v>
      </c>
      <c r="O1" s="142"/>
      <c r="P1" s="142"/>
      <c r="Q1" s="142"/>
      <c r="R1" s="142"/>
      <c r="S1" s="142"/>
      <c r="T1" s="142"/>
      <c r="U1" s="143"/>
      <c r="X1" s="147" t="s">
        <v>47</v>
      </c>
      <c r="Y1" s="148"/>
      <c r="Z1" s="148"/>
      <c r="AA1" s="148"/>
      <c r="AB1" s="148"/>
      <c r="AC1" s="148"/>
      <c r="AD1" s="148"/>
    </row>
    <row r="2" spans="1:30" x14ac:dyDescent="0.2">
      <c r="A2" s="58"/>
      <c r="C2" s="59"/>
      <c r="E2" s="8"/>
      <c r="F2" s="9"/>
      <c r="G2" s="9"/>
      <c r="H2" s="28"/>
      <c r="I2" s="29"/>
      <c r="J2" s="29"/>
      <c r="K2" s="29"/>
      <c r="L2" s="29"/>
      <c r="M2" s="30"/>
      <c r="N2" s="50"/>
      <c r="O2" s="38"/>
      <c r="P2" s="38"/>
      <c r="Q2" s="38"/>
      <c r="R2" s="38"/>
      <c r="S2" s="38"/>
      <c r="T2" s="38"/>
      <c r="U2" s="51"/>
      <c r="X2" s="106"/>
      <c r="Y2" s="99"/>
      <c r="Z2" s="99"/>
      <c r="AA2" s="99"/>
      <c r="AB2" s="99"/>
      <c r="AC2" s="99"/>
      <c r="AD2" s="99"/>
    </row>
    <row r="3" spans="1:30" ht="34" x14ac:dyDescent="0.3">
      <c r="A3" s="60" t="s">
        <v>4</v>
      </c>
      <c r="B3" s="3" t="s">
        <v>5</v>
      </c>
      <c r="C3" s="61" t="s">
        <v>6</v>
      </c>
      <c r="E3" s="10" t="s">
        <v>7</v>
      </c>
      <c r="F3" s="7" t="s">
        <v>8</v>
      </c>
      <c r="G3" s="7" t="s">
        <v>9</v>
      </c>
      <c r="H3" s="31" t="s">
        <v>10</v>
      </c>
      <c r="I3" s="32">
        <v>45931</v>
      </c>
      <c r="J3" s="32">
        <v>46113</v>
      </c>
      <c r="K3" s="32">
        <v>46296</v>
      </c>
      <c r="L3" s="32">
        <v>46478</v>
      </c>
      <c r="M3" s="32">
        <v>46661</v>
      </c>
      <c r="N3" s="36" t="s">
        <v>10</v>
      </c>
      <c r="O3" s="37">
        <v>45839</v>
      </c>
      <c r="P3" s="37">
        <v>46023</v>
      </c>
      <c r="Q3" s="37">
        <v>46204</v>
      </c>
      <c r="R3" s="37">
        <v>46388</v>
      </c>
      <c r="S3" s="37">
        <v>46569</v>
      </c>
      <c r="T3" s="37">
        <v>46753</v>
      </c>
      <c r="U3" s="52">
        <v>46935</v>
      </c>
      <c r="X3" s="107" t="s">
        <v>10</v>
      </c>
      <c r="Y3" s="98"/>
      <c r="Z3" s="98"/>
      <c r="AA3" s="98">
        <v>45931</v>
      </c>
      <c r="AB3" s="98">
        <v>46113</v>
      </c>
      <c r="AC3" s="98">
        <v>46296</v>
      </c>
      <c r="AD3" s="98">
        <v>46478</v>
      </c>
    </row>
    <row r="4" spans="1:30" ht="34" x14ac:dyDescent="0.3">
      <c r="A4" s="62" t="s">
        <v>11</v>
      </c>
      <c r="B4" s="4">
        <v>45778</v>
      </c>
      <c r="C4" s="63">
        <v>99.998739999999998</v>
      </c>
      <c r="D4" s="2"/>
      <c r="E4" s="11">
        <f>1/12</f>
        <v>8.3333333333333329E-2</v>
      </c>
      <c r="F4" s="85">
        <f>C4/100</f>
        <v>0.99998739999999997</v>
      </c>
      <c r="G4" s="78">
        <f>((F4 ^ -(1/E4)) - 1)-0.0002</f>
        <v>-4.878761599160769E-5</v>
      </c>
      <c r="H4" s="31" t="s">
        <v>12</v>
      </c>
      <c r="I4" s="34">
        <v>0.5</v>
      </c>
      <c r="J4" s="29">
        <v>1</v>
      </c>
      <c r="K4" s="29">
        <v>1.5</v>
      </c>
      <c r="L4" s="29">
        <v>2</v>
      </c>
      <c r="M4" s="29">
        <v>2.5</v>
      </c>
      <c r="N4" s="36" t="s">
        <v>13</v>
      </c>
      <c r="O4" s="91">
        <f>(O3-$B$1)/365</f>
        <v>0.24931506849315069</v>
      </c>
      <c r="P4" s="91">
        <f t="shared" ref="P4:U4" si="0">(P3-$B$1)/365</f>
        <v>0.75342465753424659</v>
      </c>
      <c r="Q4" s="91">
        <f t="shared" si="0"/>
        <v>1.2493150684931507</v>
      </c>
      <c r="R4" s="91">
        <f t="shared" si="0"/>
        <v>1.7534246575342465</v>
      </c>
      <c r="S4" s="91">
        <f>(S3-$B$1)/365</f>
        <v>2.2493150684931509</v>
      </c>
      <c r="T4" s="91">
        <f t="shared" si="0"/>
        <v>2.7534246575342465</v>
      </c>
      <c r="U4" s="91">
        <f t="shared" si="0"/>
        <v>3.2520547945205478</v>
      </c>
      <c r="X4" s="107" t="s">
        <v>12</v>
      </c>
      <c r="Y4" s="102"/>
      <c r="Z4" s="99"/>
      <c r="AA4" s="99">
        <v>0.5</v>
      </c>
      <c r="AB4" s="99">
        <v>1</v>
      </c>
      <c r="AC4" s="99">
        <v>1.5</v>
      </c>
      <c r="AD4" s="99">
        <v>2</v>
      </c>
    </row>
    <row r="5" spans="1:30" ht="26" x14ac:dyDescent="0.3">
      <c r="A5" s="62" t="s">
        <v>11</v>
      </c>
      <c r="B5" s="4">
        <v>45901</v>
      </c>
      <c r="C5" s="63">
        <v>99.825000000000003</v>
      </c>
      <c r="D5" s="2"/>
      <c r="E5" s="11">
        <f>5/12</f>
        <v>0.41666666666666669</v>
      </c>
      <c r="F5" s="85">
        <f>C5/100</f>
        <v>0.99825000000000008</v>
      </c>
      <c r="G5" s="78">
        <f t="shared" ref="G5:G8" si="1">((F5 ^ -(1/E5)) - 1)-0.0002</f>
        <v>4.0125271464366069E-3</v>
      </c>
      <c r="H5" s="31" t="s">
        <v>14</v>
      </c>
      <c r="I5" s="29">
        <f>(0.0135*100)</f>
        <v>1.35</v>
      </c>
      <c r="J5" s="29">
        <f t="shared" ref="J5:L5" si="2">(0.0135*100)</f>
        <v>1.35</v>
      </c>
      <c r="K5" s="29">
        <f t="shared" si="2"/>
        <v>1.35</v>
      </c>
      <c r="L5" s="29">
        <f t="shared" si="2"/>
        <v>1.35</v>
      </c>
      <c r="M5" s="29">
        <f>(0.0135*100 + 100)</f>
        <v>101.35</v>
      </c>
      <c r="N5" s="36" t="s">
        <v>14</v>
      </c>
      <c r="O5" s="38">
        <f>0.0025*100</f>
        <v>0.25</v>
      </c>
      <c r="P5" s="38">
        <f t="shared" ref="P5:T5" si="3">0.0025*100</f>
        <v>0.25</v>
      </c>
      <c r="Q5" s="38">
        <f t="shared" si="3"/>
        <v>0.25</v>
      </c>
      <c r="R5" s="38">
        <f t="shared" si="3"/>
        <v>0.25</v>
      </c>
      <c r="S5" s="38">
        <f t="shared" si="3"/>
        <v>0.25</v>
      </c>
      <c r="T5" s="38">
        <f t="shared" si="3"/>
        <v>0.25</v>
      </c>
      <c r="U5" s="51">
        <f>100+0.0025*100</f>
        <v>100.25</v>
      </c>
      <c r="X5" s="107" t="s">
        <v>14</v>
      </c>
      <c r="Y5" s="99"/>
      <c r="Z5" s="99"/>
      <c r="AA5" s="99">
        <v>1</v>
      </c>
      <c r="AB5" s="99">
        <v>1</v>
      </c>
      <c r="AC5" s="99">
        <v>1</v>
      </c>
      <c r="AD5" s="99">
        <v>101</v>
      </c>
    </row>
    <row r="6" spans="1:30" ht="26" x14ac:dyDescent="0.3">
      <c r="A6" s="62" t="s">
        <v>11</v>
      </c>
      <c r="B6" s="4">
        <v>45931</v>
      </c>
      <c r="C6" s="63">
        <v>99.707899999999995</v>
      </c>
      <c r="D6" s="2"/>
      <c r="E6" s="11">
        <f>6/12</f>
        <v>0.5</v>
      </c>
      <c r="F6" s="85">
        <f>C6/100</f>
        <v>0.99707899999999994</v>
      </c>
      <c r="G6" s="78">
        <f t="shared" si="1"/>
        <v>5.6676967789799143E-3</v>
      </c>
      <c r="H6" s="31" t="s">
        <v>15</v>
      </c>
      <c r="I6" s="79">
        <f>I5*(1+G6)^(-I4)</f>
        <v>1.3461904904064717</v>
      </c>
      <c r="J6" s="144" t="s">
        <v>16</v>
      </c>
      <c r="K6" s="144"/>
      <c r="L6" s="144"/>
      <c r="M6" s="23" t="s">
        <v>17</v>
      </c>
      <c r="N6" s="36" t="s">
        <v>9</v>
      </c>
      <c r="O6" s="78">
        <f>((E5-O4)*G4 + (O4-E4)*G5 )/ (E5-E4)</f>
        <v>1.973524597902441E-3</v>
      </c>
      <c r="P6" s="78">
        <f>G7</f>
        <v>1.2836279319655008E-2</v>
      </c>
      <c r="Q6" s="78">
        <f>($J$9- $J$8)/($I$9- $I$8)*(Q4-$I$8) + $J$8</f>
        <v>2.0340939061980819E-2</v>
      </c>
      <c r="R6" s="78">
        <f t="shared" ref="R6:S6" si="4">($J$9- $J$8)/($I$9- $I$8)*(R4-$I$8) + $J$8</f>
        <v>2.1945090762587865E-2</v>
      </c>
      <c r="S6" s="78">
        <f t="shared" si="4"/>
        <v>2.352308781590241E-2</v>
      </c>
      <c r="T6" s="70" t="s">
        <v>18</v>
      </c>
      <c r="U6" s="39" t="s">
        <v>17</v>
      </c>
      <c r="V6" s="92"/>
      <c r="X6" s="113" t="s">
        <v>15</v>
      </c>
      <c r="Y6" s="108"/>
      <c r="Z6" s="108"/>
      <c r="AA6" s="108">
        <f>AA5*(1+G6)^(-AA4)</f>
        <v>0.99717814104183078</v>
      </c>
      <c r="AB6" s="108">
        <f>AB5*(1+I11)^(-AB4)</f>
        <v>0.98082720043328098</v>
      </c>
      <c r="AC6" s="108">
        <f>AC5*(1+J11)^(-AC4)</f>
        <v>0.96910966431610512</v>
      </c>
      <c r="AD6" s="108">
        <f>AD5*(1+K11)^(-AD4)</f>
        <v>96.560523614013974</v>
      </c>
    </row>
    <row r="7" spans="1:30" ht="26" x14ac:dyDescent="0.3">
      <c r="A7" s="62" t="s">
        <v>11</v>
      </c>
      <c r="B7" s="4">
        <v>46023</v>
      </c>
      <c r="C7" s="63">
        <v>99.033299999999997</v>
      </c>
      <c r="D7" s="2"/>
      <c r="E7" s="11">
        <f>9/12</f>
        <v>0.75</v>
      </c>
      <c r="F7" s="85">
        <f>C7/100</f>
        <v>0.99033300000000002</v>
      </c>
      <c r="G7" s="78">
        <f t="shared" si="1"/>
        <v>1.2836279319655008E-2</v>
      </c>
      <c r="H7" s="31"/>
      <c r="I7" s="90" t="s">
        <v>19</v>
      </c>
      <c r="J7" s="74"/>
      <c r="K7" s="29"/>
      <c r="L7" s="29"/>
      <c r="M7" s="30"/>
      <c r="N7" s="36" t="s">
        <v>20</v>
      </c>
      <c r="O7" s="77">
        <f>O5*(1+O6)^(-O4)</f>
        <v>0.24987714406154207</v>
      </c>
      <c r="P7" s="77">
        <f>P5*(1+P6)^(-P4)</f>
        <v>0.2476091000876183</v>
      </c>
      <c r="Q7" s="77">
        <f>Q5*(1+Q6)^(-Q4)</f>
        <v>0.24378914172531055</v>
      </c>
      <c r="R7" s="77">
        <f>R5*(1+R6)^(-R4)</f>
        <v>0.24066309052088883</v>
      </c>
      <c r="S7" s="77">
        <f>S5*(1+S6)^(-S4)</f>
        <v>0.23726147545628651</v>
      </c>
      <c r="T7" s="38"/>
      <c r="U7" s="51"/>
      <c r="X7" s="106"/>
      <c r="Y7" s="99"/>
      <c r="Z7" s="99"/>
      <c r="AA7" s="99"/>
      <c r="AB7" s="99"/>
      <c r="AC7" s="99"/>
      <c r="AD7" s="99"/>
    </row>
    <row r="8" spans="1:30" ht="27" thickBot="1" x14ac:dyDescent="0.35">
      <c r="A8" s="62" t="s">
        <v>11</v>
      </c>
      <c r="B8" s="4">
        <v>46082</v>
      </c>
      <c r="C8" s="63">
        <v>98.245900000000006</v>
      </c>
      <c r="D8" s="2"/>
      <c r="E8" s="11">
        <f>11/12</f>
        <v>0.91666666666666663</v>
      </c>
      <c r="F8" s="86">
        <f>C8/100</f>
        <v>0.98245900000000008</v>
      </c>
      <c r="G8" s="78">
        <f t="shared" si="1"/>
        <v>1.9293009527127737E-2</v>
      </c>
      <c r="H8" s="33" t="s">
        <v>21</v>
      </c>
      <c r="I8" s="16">
        <v>0.92</v>
      </c>
      <c r="J8" s="17">
        <f>G8</f>
        <v>1.9293009527127737E-2</v>
      </c>
      <c r="K8" s="18"/>
      <c r="L8" s="19"/>
      <c r="M8" s="30"/>
      <c r="N8" s="36"/>
      <c r="O8" s="38"/>
      <c r="P8" s="38"/>
      <c r="Q8" s="38"/>
      <c r="R8" s="38"/>
      <c r="S8" s="38"/>
      <c r="T8" s="38"/>
      <c r="U8" s="51"/>
      <c r="X8" s="106"/>
      <c r="Y8" s="115" t="s">
        <v>26</v>
      </c>
      <c r="Z8" s="122">
        <f>SUM(AA6:AD6)</f>
        <v>99.507638619805192</v>
      </c>
      <c r="AA8" s="99"/>
      <c r="AB8" s="99"/>
      <c r="AC8" s="99"/>
      <c r="AD8" s="99"/>
    </row>
    <row r="9" spans="1:30" ht="26" x14ac:dyDescent="0.3">
      <c r="A9" s="64">
        <v>2.7E-2</v>
      </c>
      <c r="B9" s="5">
        <v>46661</v>
      </c>
      <c r="C9" s="65">
        <v>100.71</v>
      </c>
      <c r="D9" s="2"/>
      <c r="E9" s="1"/>
      <c r="H9" s="33" t="s">
        <v>22</v>
      </c>
      <c r="I9" s="20">
        <v>2.5</v>
      </c>
      <c r="J9" s="109">
        <v>2.4320804558323847E-2</v>
      </c>
      <c r="K9" s="22" t="s">
        <v>17</v>
      </c>
      <c r="L9" s="23"/>
      <c r="M9" s="30"/>
      <c r="N9" s="50"/>
      <c r="O9" s="40" t="s">
        <v>22</v>
      </c>
      <c r="P9" s="41">
        <v>2.5</v>
      </c>
      <c r="Q9" s="110">
        <f>J9</f>
        <v>2.4320804558323847E-2</v>
      </c>
      <c r="R9" s="43"/>
      <c r="S9" s="44"/>
      <c r="T9" s="38"/>
      <c r="U9" s="51"/>
    </row>
    <row r="10" spans="1:30" ht="26" x14ac:dyDescent="0.3">
      <c r="A10" s="87">
        <v>5.0000000000000001E-3</v>
      </c>
      <c r="B10" s="6">
        <v>46935</v>
      </c>
      <c r="C10" s="66">
        <v>93.67</v>
      </c>
      <c r="D10" s="1"/>
      <c r="H10" s="24" t="s">
        <v>19</v>
      </c>
      <c r="I10" s="12">
        <v>1</v>
      </c>
      <c r="J10" s="12">
        <v>1.5</v>
      </c>
      <c r="K10" s="12">
        <v>2</v>
      </c>
      <c r="L10" s="12">
        <v>2.5</v>
      </c>
      <c r="M10" s="13"/>
      <c r="N10" s="50"/>
      <c r="O10" s="45" t="s">
        <v>23</v>
      </c>
      <c r="P10" s="46">
        <v>3.25</v>
      </c>
      <c r="Q10" s="111">
        <v>2.5603980142855538E-2</v>
      </c>
      <c r="R10" s="48"/>
      <c r="S10" s="49" t="s">
        <v>17</v>
      </c>
      <c r="T10" s="38"/>
      <c r="U10" s="51"/>
    </row>
    <row r="11" spans="1:30" ht="26" x14ac:dyDescent="0.3">
      <c r="A11" s="67"/>
      <c r="B11" s="68"/>
      <c r="C11" s="69"/>
      <c r="D11" s="1"/>
      <c r="H11" s="25" t="s">
        <v>9</v>
      </c>
      <c r="I11" s="76">
        <f>($J$9- $J$8)/($I$9- $I$8)*(I10-$I$8) + $J$8</f>
        <v>1.9547581427441466E-2</v>
      </c>
      <c r="J11" s="76">
        <f t="shared" ref="J11:L11" si="5">($J$9- $J$8)/($I$9- $I$8)*(J10-$I$8) + $J$8</f>
        <v>2.1138655804402259E-2</v>
      </c>
      <c r="K11" s="76">
        <f t="shared" si="5"/>
        <v>2.2729730181363053E-2</v>
      </c>
      <c r="L11" s="76">
        <f t="shared" si="5"/>
        <v>2.4320804558323847E-2</v>
      </c>
      <c r="M11" s="105"/>
      <c r="N11" s="50"/>
      <c r="O11" s="71" t="s">
        <v>19</v>
      </c>
      <c r="P11" s="42">
        <v>2.75</v>
      </c>
      <c r="Q11" s="44">
        <v>3.25</v>
      </c>
      <c r="R11" s="38"/>
      <c r="S11" s="38"/>
      <c r="T11" s="38"/>
      <c r="U11" s="51"/>
    </row>
    <row r="12" spans="1:30" ht="26" x14ac:dyDescent="0.3">
      <c r="D12" s="1"/>
      <c r="H12" s="26" t="s">
        <v>15</v>
      </c>
      <c r="I12" s="80">
        <f>J5/(1+I11)^I10</f>
        <v>1.3241167205849294</v>
      </c>
      <c r="J12" s="80">
        <f>K5/(1+J11)^J10</f>
        <v>1.308298046826742</v>
      </c>
      <c r="K12" s="80">
        <f>L5/(1+K11)^K10</f>
        <v>1.2906604641477115</v>
      </c>
      <c r="L12" s="80">
        <f>M5/(1+L11)^L10</f>
        <v>95.440733647297037</v>
      </c>
      <c r="M12" s="27"/>
      <c r="N12" s="50"/>
      <c r="O12" s="72" t="s">
        <v>9</v>
      </c>
      <c r="P12" s="88">
        <f>((P10-P11)*Q9 + (P11-P9)*Q10 )/ (P10-P9)</f>
        <v>2.4748529753167742E-2</v>
      </c>
      <c r="Q12" s="78">
        <f>($Q10- $Q$9)/($P$10- $P$9)*(Q11-$P$9) + $Q$9</f>
        <v>2.5603980142855538E-2</v>
      </c>
      <c r="R12" s="38" t="s">
        <v>24</v>
      </c>
      <c r="S12" s="38"/>
      <c r="T12" s="38"/>
      <c r="U12" s="51"/>
    </row>
    <row r="13" spans="1:30" x14ac:dyDescent="0.2">
      <c r="H13" s="28"/>
      <c r="I13" s="29"/>
      <c r="J13" s="29"/>
      <c r="K13" s="29"/>
      <c r="L13" s="29"/>
      <c r="M13" s="30"/>
      <c r="N13" s="50"/>
      <c r="O13" s="73" t="s">
        <v>20</v>
      </c>
      <c r="P13" s="82">
        <f>T5*(1+P12)^(-P11)</f>
        <v>0.23374505018973943</v>
      </c>
      <c r="Q13" s="112">
        <f>U5*(1+Q12)^(-Q11)</f>
        <v>92.342231256961341</v>
      </c>
      <c r="R13" s="38"/>
      <c r="S13" s="38"/>
      <c r="T13" s="38"/>
      <c r="U13" s="51"/>
    </row>
    <row r="14" spans="1:30" x14ac:dyDescent="0.2">
      <c r="H14" s="28"/>
      <c r="I14" s="29" t="s">
        <v>25</v>
      </c>
      <c r="J14" s="81">
        <f>SUM(I12:L12) + I6</f>
        <v>100.70999936926289</v>
      </c>
      <c r="K14" s="29"/>
      <c r="L14" s="29"/>
      <c r="M14" s="30"/>
      <c r="N14" s="50"/>
      <c r="O14" s="38"/>
      <c r="P14" s="38"/>
      <c r="Q14" s="38"/>
      <c r="R14" s="38"/>
      <c r="S14" s="38"/>
      <c r="T14" s="38"/>
      <c r="U14" s="51"/>
    </row>
    <row r="15" spans="1:30" x14ac:dyDescent="0.2">
      <c r="H15" s="28"/>
      <c r="I15" s="29" t="s">
        <v>26</v>
      </c>
      <c r="J15" s="34">
        <v>100.71</v>
      </c>
      <c r="K15" s="29"/>
      <c r="L15" s="29"/>
      <c r="M15" s="30"/>
      <c r="N15" s="50"/>
      <c r="O15" s="38" t="s">
        <v>27</v>
      </c>
      <c r="P15" s="38"/>
      <c r="Q15" s="114">
        <f>SUM(O7:S7)+P13+Q13</f>
        <v>93.79517625900273</v>
      </c>
      <c r="R15" s="38"/>
      <c r="S15" s="38"/>
      <c r="T15" s="38"/>
      <c r="U15" s="51"/>
    </row>
    <row r="16" spans="1:30" x14ac:dyDescent="0.2">
      <c r="H16" s="28"/>
      <c r="I16" s="29"/>
      <c r="J16" s="29"/>
      <c r="K16" s="29"/>
      <c r="L16" s="29"/>
      <c r="M16" s="30"/>
      <c r="N16" s="50"/>
      <c r="O16" s="38" t="s">
        <v>26</v>
      </c>
      <c r="P16" s="38"/>
      <c r="Q16" s="79">
        <f>C10</f>
        <v>93.67</v>
      </c>
      <c r="R16" s="38"/>
      <c r="S16" s="38"/>
      <c r="T16" s="38"/>
      <c r="U16" s="51"/>
    </row>
    <row r="17" spans="8:21" x14ac:dyDescent="0.2">
      <c r="H17" s="28"/>
      <c r="I17" s="22" t="s">
        <v>28</v>
      </c>
      <c r="J17" s="29"/>
      <c r="K17" s="29"/>
      <c r="L17" s="29" t="s">
        <v>29</v>
      </c>
      <c r="M17" s="83">
        <f>J15-J14</f>
        <v>6.3073710521166504E-7</v>
      </c>
      <c r="N17" s="50"/>
      <c r="O17" s="38" t="s">
        <v>30</v>
      </c>
      <c r="P17" s="38"/>
      <c r="Q17" s="79">
        <f>1/4* 0.005*100</f>
        <v>0.125</v>
      </c>
      <c r="R17" s="38"/>
      <c r="S17" s="38"/>
      <c r="T17" s="38"/>
      <c r="U17" s="51"/>
    </row>
    <row r="18" spans="8:21" x14ac:dyDescent="0.2">
      <c r="H18" s="14"/>
      <c r="I18" s="15"/>
      <c r="J18" s="15"/>
      <c r="K18" s="15"/>
      <c r="L18" s="15"/>
      <c r="M18" s="35"/>
      <c r="N18" s="53"/>
      <c r="O18" s="47"/>
      <c r="P18" s="47"/>
      <c r="Q18" s="47"/>
      <c r="R18" s="47"/>
      <c r="S18" s="47" t="s">
        <v>29</v>
      </c>
      <c r="T18" s="159">
        <f>Q16-Q15+Q17</f>
        <v>-1.7625900272832951E-4</v>
      </c>
      <c r="U18" s="54"/>
    </row>
    <row r="22" spans="8:21" x14ac:dyDescent="0.2">
      <c r="O22" s="75"/>
    </row>
  </sheetData>
  <mergeCells count="5">
    <mergeCell ref="E1:G1"/>
    <mergeCell ref="H1:M1"/>
    <mergeCell ref="N1:U1"/>
    <mergeCell ref="X1:AD1"/>
    <mergeCell ref="J6:L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A141C-339F-B44F-BD7F-99D9624CE449}">
  <sheetPr>
    <tabColor rgb="FF92D050"/>
  </sheetPr>
  <dimension ref="A1:O26"/>
  <sheetViews>
    <sheetView tabSelected="1" topLeftCell="D1" zoomScale="125" workbookViewId="0">
      <selection activeCell="N16" sqref="N16"/>
    </sheetView>
  </sheetViews>
  <sheetFormatPr baseColWidth="10" defaultColWidth="11.5" defaultRowHeight="15" x14ac:dyDescent="0.2"/>
  <cols>
    <col min="5" max="5" width="10.6640625" customWidth="1"/>
    <col min="13" max="13" width="21.33203125" customWidth="1"/>
  </cols>
  <sheetData>
    <row r="1" spans="1:15" x14ac:dyDescent="0.2">
      <c r="A1" s="145" t="s">
        <v>36</v>
      </c>
      <c r="B1" s="146"/>
      <c r="C1" s="146"/>
      <c r="D1" s="146"/>
      <c r="E1" s="146"/>
      <c r="F1" s="146"/>
      <c r="G1" s="146"/>
      <c r="H1" s="146"/>
      <c r="I1" s="146"/>
      <c r="J1" s="146"/>
      <c r="K1" s="149"/>
    </row>
    <row r="2" spans="1:15" x14ac:dyDescent="0.2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5" ht="16" x14ac:dyDescent="0.2">
      <c r="A3" s="31" t="s">
        <v>10</v>
      </c>
      <c r="B3" s="32">
        <v>45748</v>
      </c>
      <c r="C3" s="32">
        <v>45809</v>
      </c>
      <c r="D3" s="32">
        <v>45992</v>
      </c>
      <c r="E3" s="32">
        <v>46174</v>
      </c>
      <c r="F3" s="32">
        <v>46357</v>
      </c>
      <c r="G3" s="32">
        <v>46539</v>
      </c>
      <c r="H3" s="32">
        <v>46722</v>
      </c>
      <c r="I3" s="32">
        <v>46905</v>
      </c>
      <c r="J3" s="32">
        <v>47088</v>
      </c>
      <c r="K3" s="98">
        <v>47270</v>
      </c>
    </row>
    <row r="4" spans="1:15" ht="16" x14ac:dyDescent="0.2">
      <c r="A4" s="31" t="s">
        <v>12</v>
      </c>
      <c r="B4" s="101">
        <v>0</v>
      </c>
      <c r="C4" s="34">
        <f>2/12</f>
        <v>0.16666666666666666</v>
      </c>
      <c r="D4" s="34">
        <f>C4+0.5</f>
        <v>0.66666666666666663</v>
      </c>
      <c r="E4" s="34">
        <f>14/12</f>
        <v>1.1666666666666667</v>
      </c>
      <c r="F4" s="34">
        <v>1.6666666666666667</v>
      </c>
      <c r="G4" s="34">
        <v>2.1666666666666665</v>
      </c>
      <c r="H4" s="34">
        <v>2.6666666666666665</v>
      </c>
      <c r="I4" s="34">
        <v>3.1666666666666665</v>
      </c>
      <c r="J4" s="34">
        <v>3.6666666666666665</v>
      </c>
      <c r="K4" s="102">
        <v>4.166666666666667</v>
      </c>
    </row>
    <row r="5" spans="1:15" ht="16" x14ac:dyDescent="0.2">
      <c r="A5" s="31" t="s">
        <v>14</v>
      </c>
      <c r="B5" s="95">
        <f>-(2/3)*1</f>
        <v>-0.66666666666666663</v>
      </c>
      <c r="C5" s="29">
        <f>(0.01*100)</f>
        <v>1</v>
      </c>
      <c r="D5" s="29">
        <f>(0.01*100)</f>
        <v>1</v>
      </c>
      <c r="E5" s="29">
        <f>(0.01*100)</f>
        <v>1</v>
      </c>
      <c r="F5" s="29">
        <f>(0.01*100)</f>
        <v>1</v>
      </c>
      <c r="G5" s="29">
        <f>(0.01*100)</f>
        <v>1</v>
      </c>
      <c r="H5" s="29">
        <f>1</f>
        <v>1</v>
      </c>
      <c r="I5" s="29">
        <f>(0.01*100)</f>
        <v>1</v>
      </c>
      <c r="J5" s="29">
        <v>1</v>
      </c>
      <c r="K5" s="99">
        <v>101</v>
      </c>
    </row>
    <row r="6" spans="1:15" x14ac:dyDescent="0.2">
      <c r="A6" s="31"/>
      <c r="B6" s="95"/>
      <c r="C6" s="29"/>
      <c r="D6" s="29"/>
      <c r="E6" s="29"/>
      <c r="F6" s="29"/>
      <c r="G6" s="29"/>
      <c r="H6" s="29"/>
      <c r="I6" s="29"/>
      <c r="J6" s="29"/>
      <c r="K6" s="29"/>
    </row>
    <row r="7" spans="1:15" ht="16" x14ac:dyDescent="0.2">
      <c r="A7" s="31"/>
      <c r="B7" s="95" t="s">
        <v>19</v>
      </c>
      <c r="C7" s="90">
        <v>0.17</v>
      </c>
      <c r="D7" s="74">
        <v>0.67</v>
      </c>
      <c r="E7" s="29">
        <v>1.17</v>
      </c>
      <c r="F7" s="29">
        <v>1.67</v>
      </c>
      <c r="G7" s="30">
        <v>2.17</v>
      </c>
      <c r="H7" s="30">
        <v>2.67</v>
      </c>
      <c r="I7" s="30">
        <v>3.17</v>
      </c>
      <c r="J7" s="30">
        <v>3.67</v>
      </c>
      <c r="K7" s="97">
        <v>4.17</v>
      </c>
    </row>
    <row r="8" spans="1:15" x14ac:dyDescent="0.2">
      <c r="A8" s="33"/>
      <c r="B8" s="33" t="s">
        <v>9</v>
      </c>
      <c r="C8" s="94">
        <f>((A21-C7) *B20+(C7-A20)*B21 )/(A21-A20)</f>
        <v>1.2262659705882355E-3</v>
      </c>
      <c r="D8" s="94">
        <f>((A23-D7) *B22+(D7-A22)*B23 )/(A23-A22)</f>
        <v>1.0742332760000001E-2</v>
      </c>
      <c r="E8" s="94">
        <f>($B$25- $B$24)/($A$25- $A$24)*(E7-$A$24) + $B$24</f>
        <v>2.0256304635813956E-2</v>
      </c>
      <c r="F8" s="94">
        <f t="shared" ref="F8:G8" si="0">($B$25- $B$24)/($A$25- $A$24)*(F7-$A$24) + $B$24</f>
        <v>2.1782893907441869E-2</v>
      </c>
      <c r="G8" s="94">
        <f t="shared" si="0"/>
        <v>2.3309483179069779E-2</v>
      </c>
      <c r="H8" s="94">
        <f>((A26-H7) *B25+(H7-A25)*B26 )/(A26-A25)</f>
        <v>2.460852582422109E-2</v>
      </c>
      <c r="I8" s="94">
        <f>((A26-I7) *B25+(I7-A25)*B26 )/(A26-A25)</f>
        <v>2.5465860312094284E-2</v>
      </c>
      <c r="J8" s="94">
        <f>(-(J7-A26)*B25+(J7-A25)*B26)/(A26-A25)</f>
        <v>2.6323194799967486E-2</v>
      </c>
      <c r="K8" s="94">
        <f>(-(K7-A26)*B25+(K7-A25)*B26)/(A26-A25)</f>
        <v>2.718052928784068E-2</v>
      </c>
    </row>
    <row r="9" spans="1:15" x14ac:dyDescent="0.2">
      <c r="A9" s="33"/>
      <c r="B9" s="33" t="s">
        <v>37</v>
      </c>
      <c r="C9" s="20">
        <f t="shared" ref="C9:I9" si="1">C5*(1+C8)^(-C4)</f>
        <v>0.99979576840468476</v>
      </c>
      <c r="D9" s="20">
        <f t="shared" si="1"/>
        <v>0.99290194846735136</v>
      </c>
      <c r="E9" s="20">
        <f t="shared" si="1"/>
        <v>0.97687538152497799</v>
      </c>
      <c r="F9" s="20">
        <f t="shared" si="1"/>
        <v>0.96472223248276345</v>
      </c>
      <c r="G9" s="20">
        <f t="shared" si="1"/>
        <v>0.95130147300387313</v>
      </c>
      <c r="H9" s="20">
        <f t="shared" si="1"/>
        <v>0.93722836889299987</v>
      </c>
      <c r="I9" s="20">
        <f t="shared" si="1"/>
        <v>0.92345594074304038</v>
      </c>
      <c r="J9" s="20">
        <f>J5*(1+J8)^(-J7)</f>
        <v>0.90904878653283161</v>
      </c>
      <c r="K9" s="20">
        <f>K5*(1+K8)^(-K7)</f>
        <v>90.313839813943403</v>
      </c>
    </row>
    <row r="10" spans="1:15" x14ac:dyDescent="0.2">
      <c r="A10" s="24"/>
      <c r="B10" s="96"/>
      <c r="C10" s="12"/>
      <c r="D10" s="12"/>
      <c r="E10" s="12"/>
      <c r="F10" s="12"/>
      <c r="G10" s="13"/>
      <c r="H10" s="13"/>
      <c r="I10" s="13"/>
      <c r="J10" s="13"/>
      <c r="K10" s="100"/>
    </row>
    <row r="11" spans="1:15" x14ac:dyDescent="0.2">
      <c r="A11" s="28" t="s">
        <v>32</v>
      </c>
      <c r="B11" s="29"/>
      <c r="C11" s="34">
        <f>C4*C9</f>
        <v>0.16663262806744744</v>
      </c>
      <c r="D11" s="34">
        <f t="shared" ref="D11:K11" si="2">D4*D9</f>
        <v>0.66193463231156757</v>
      </c>
      <c r="E11" s="34">
        <f t="shared" si="2"/>
        <v>1.1396879451124744</v>
      </c>
      <c r="F11" s="34">
        <f t="shared" si="2"/>
        <v>1.6078703874712725</v>
      </c>
      <c r="G11" s="34">
        <f t="shared" si="2"/>
        <v>2.0611531915083918</v>
      </c>
      <c r="H11" s="34">
        <f t="shared" si="2"/>
        <v>2.4992756503813327</v>
      </c>
      <c r="I11" s="34">
        <f t="shared" si="2"/>
        <v>2.9242771456862946</v>
      </c>
      <c r="J11" s="34">
        <f t="shared" si="2"/>
        <v>3.3331788839537158</v>
      </c>
      <c r="K11" s="34">
        <f t="shared" si="2"/>
        <v>376.30766589143087</v>
      </c>
    </row>
    <row r="12" spans="1:15" x14ac:dyDescent="0.2">
      <c r="A12" s="104" t="s">
        <v>33</v>
      </c>
      <c r="B12" s="103"/>
      <c r="C12" s="103">
        <f>C4*(C4+1)*C5*(1+C8)^(-C4-2)</f>
        <v>0.19392882449272406</v>
      </c>
      <c r="D12" s="103">
        <f t="shared" ref="D12:K12" si="3">D4*(D4+1)*D5*(1+D8)^(-D4-2)</f>
        <v>1.0798985110616548</v>
      </c>
      <c r="E12" s="103">
        <f t="shared" si="3"/>
        <v>2.3722446846665166</v>
      </c>
      <c r="F12" s="103">
        <f t="shared" si="3"/>
        <v>4.1067901683054933</v>
      </c>
      <c r="G12" s="103">
        <f t="shared" si="3"/>
        <v>6.2330214873464431</v>
      </c>
      <c r="H12" s="103">
        <f t="shared" si="3"/>
        <v>8.7291037988603453</v>
      </c>
      <c r="I12" s="103">
        <f t="shared" si="3"/>
        <v>11.586836412200096</v>
      </c>
      <c r="J12" s="103">
        <f t="shared" si="3"/>
        <v>14.76844359285044</v>
      </c>
      <c r="K12" s="103">
        <f t="shared" si="3"/>
        <v>1842.8872888477674</v>
      </c>
      <c r="M12" s="116" t="s">
        <v>38</v>
      </c>
      <c r="N12" s="123">
        <f>0.4*'punto 1'!C14+0.6*'punto 4 + 5 + 6'!D16</f>
        <v>3.1809009026425099</v>
      </c>
    </row>
    <row r="13" spans="1:15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M13" s="125"/>
      <c r="N13" s="126"/>
    </row>
    <row r="14" spans="1:15" x14ac:dyDescent="0.2">
      <c r="A14" s="28"/>
      <c r="B14" s="29"/>
      <c r="C14" s="116" t="s">
        <v>27</v>
      </c>
      <c r="D14" s="93">
        <f>SUM(C9:K9)</f>
        <v>97.969169713995925</v>
      </c>
      <c r="E14" s="29"/>
      <c r="F14" s="29"/>
      <c r="G14" s="29"/>
      <c r="H14" s="29"/>
      <c r="I14" s="29"/>
      <c r="J14" s="29"/>
      <c r="K14" s="29"/>
      <c r="M14" s="116" t="s">
        <v>39</v>
      </c>
      <c r="N14" s="123">
        <f>0.4*'punto 1'!C15 + 0.6*'punto 4 + 5 + 6'!D17</f>
        <v>13.816655590874053</v>
      </c>
    </row>
    <row r="15" spans="1:15" x14ac:dyDescent="0.2">
      <c r="A15" s="28"/>
      <c r="B15" s="29"/>
      <c r="C15" s="117"/>
      <c r="D15" s="29"/>
      <c r="E15" s="29"/>
      <c r="F15" s="29"/>
      <c r="G15" s="29"/>
      <c r="H15" s="29"/>
      <c r="I15" s="29"/>
      <c r="J15" s="29"/>
      <c r="K15" s="29"/>
      <c r="M15" s="125"/>
      <c r="N15" s="160" t="s">
        <v>40</v>
      </c>
      <c r="O15" s="160" t="s">
        <v>41</v>
      </c>
    </row>
    <row r="16" spans="1:15" x14ac:dyDescent="0.2">
      <c r="A16" s="28"/>
      <c r="B16" s="28"/>
      <c r="C16" s="127" t="s">
        <v>34</v>
      </c>
      <c r="D16" s="93">
        <f>SUM(C11:K11)/D14</f>
        <v>3.9880064054488722</v>
      </c>
      <c r="E16" s="29"/>
      <c r="F16" s="29"/>
      <c r="G16" s="29"/>
      <c r="H16" s="29"/>
      <c r="I16" s="29"/>
      <c r="J16" s="29"/>
      <c r="K16" s="29"/>
      <c r="M16" s="116" t="s">
        <v>42</v>
      </c>
      <c r="N16" s="123">
        <f>(4000*N18*(3-2))/ (D14*( 4.17-2))</f>
        <v>1746.2950153262593</v>
      </c>
      <c r="O16" s="123">
        <f>4000*N18*(4.17-3)/('punto 1'!C12*(4.17-2))</f>
        <v>2011.8172318927047</v>
      </c>
    </row>
    <row r="17" spans="1:14" x14ac:dyDescent="0.2">
      <c r="A17" s="14"/>
      <c r="B17" s="28"/>
      <c r="C17" s="127" t="s">
        <v>35</v>
      </c>
      <c r="D17" s="93">
        <f>SUM(C12:K12)/D14</f>
        <v>19.311764730177817</v>
      </c>
      <c r="E17" s="15"/>
      <c r="F17" s="15"/>
      <c r="G17" s="29"/>
      <c r="H17" s="29"/>
      <c r="I17" s="29"/>
      <c r="J17" s="29"/>
      <c r="K17" s="29"/>
    </row>
    <row r="18" spans="1:14" x14ac:dyDescent="0.2">
      <c r="M18" t="s">
        <v>43</v>
      </c>
      <c r="N18">
        <f>100*(1+N19)^(-3)</f>
        <v>92.812566954507858</v>
      </c>
    </row>
    <row r="19" spans="1:14" x14ac:dyDescent="0.2">
      <c r="M19" t="s">
        <v>48</v>
      </c>
      <c r="N19">
        <f>((A26-3) *B25+(3-A25)*B26 )/(A26-A25)</f>
        <v>2.5174366586217398E-2</v>
      </c>
    </row>
    <row r="20" spans="1:14" x14ac:dyDescent="0.2">
      <c r="A20" s="130">
        <v>0.08</v>
      </c>
      <c r="B20" s="151">
        <v>1.5121199999999999E-4</v>
      </c>
    </row>
    <row r="21" spans="1:14" x14ac:dyDescent="0.2">
      <c r="A21" s="130">
        <v>0.42</v>
      </c>
      <c r="B21" s="151">
        <v>4.2125269999999998E-3</v>
      </c>
    </row>
    <row r="22" spans="1:14" x14ac:dyDescent="0.2">
      <c r="A22" s="130">
        <v>0.5</v>
      </c>
      <c r="B22" s="151">
        <v>5.8676969999999998E-3</v>
      </c>
    </row>
    <row r="23" spans="1:14" x14ac:dyDescent="0.2">
      <c r="A23" s="130">
        <v>0.75</v>
      </c>
      <c r="B23" s="151">
        <v>1.3036279E-2</v>
      </c>
    </row>
    <row r="24" spans="1:14" x14ac:dyDescent="0.2">
      <c r="A24" s="130">
        <v>0.92</v>
      </c>
      <c r="B24" s="151">
        <v>1.9493010000000002E-2</v>
      </c>
    </row>
    <row r="25" spans="1:14" x14ac:dyDescent="0.2">
      <c r="A25" s="131">
        <v>2.5</v>
      </c>
      <c r="B25" s="155">
        <v>2.43170320983442E-2</v>
      </c>
    </row>
    <row r="26" spans="1:14" x14ac:dyDescent="0.2">
      <c r="A26" s="129">
        <v>3.25</v>
      </c>
      <c r="B26" s="153">
        <v>2.5603033830153998E-2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AB20-AC3A-F644-AB72-7AC8B1EDAEE1}">
  <sheetPr>
    <tabColor rgb="FF92D050"/>
  </sheetPr>
  <dimension ref="A1:K26"/>
  <sheetViews>
    <sheetView showGridLines="0" zoomScale="125" workbookViewId="0">
      <selection activeCell="D14" sqref="D14"/>
    </sheetView>
  </sheetViews>
  <sheetFormatPr baseColWidth="10" defaultColWidth="11.5" defaultRowHeight="15" x14ac:dyDescent="0.2"/>
  <cols>
    <col min="2" max="2" width="11.5" customWidth="1"/>
    <col min="5" max="5" width="10.6640625" customWidth="1"/>
  </cols>
  <sheetData>
    <row r="1" spans="1:11" x14ac:dyDescent="0.2">
      <c r="A1" s="145" t="s">
        <v>36</v>
      </c>
      <c r="B1" s="146"/>
      <c r="C1" s="146"/>
      <c r="D1" s="146"/>
      <c r="E1" s="146"/>
      <c r="F1" s="146"/>
      <c r="G1" s="146"/>
      <c r="H1" s="146"/>
      <c r="I1" s="146"/>
      <c r="J1" s="146"/>
      <c r="K1" s="149"/>
    </row>
    <row r="2" spans="1:11" x14ac:dyDescent="0.2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1" ht="16" x14ac:dyDescent="0.2">
      <c r="A3" s="31" t="s">
        <v>10</v>
      </c>
      <c r="B3" s="32">
        <v>45748</v>
      </c>
      <c r="C3" s="32">
        <v>45809</v>
      </c>
      <c r="D3" s="32">
        <v>45992</v>
      </c>
      <c r="E3" s="32">
        <v>46174</v>
      </c>
      <c r="F3" s="32">
        <v>46357</v>
      </c>
      <c r="G3" s="32">
        <v>46539</v>
      </c>
      <c r="H3" s="32">
        <v>46722</v>
      </c>
      <c r="I3" s="32">
        <v>46905</v>
      </c>
      <c r="J3" s="32">
        <v>47088</v>
      </c>
      <c r="K3" s="98">
        <v>47270</v>
      </c>
    </row>
    <row r="4" spans="1:11" ht="16" x14ac:dyDescent="0.2">
      <c r="A4" s="31" t="s">
        <v>12</v>
      </c>
      <c r="B4" s="101">
        <v>0</v>
      </c>
      <c r="C4" s="34">
        <f>2/12</f>
        <v>0.16666666666666666</v>
      </c>
      <c r="D4" s="34">
        <f>C4+0.5</f>
        <v>0.66666666666666663</v>
      </c>
      <c r="E4" s="34">
        <f>14/12</f>
        <v>1.1666666666666667</v>
      </c>
      <c r="F4" s="34">
        <v>1.6666666666666667</v>
      </c>
      <c r="G4" s="34">
        <v>2.1666666666666665</v>
      </c>
      <c r="H4" s="34">
        <v>2.6666666666666665</v>
      </c>
      <c r="I4" s="34">
        <v>3.1666666666666665</v>
      </c>
      <c r="J4" s="34">
        <v>3.6666666666666665</v>
      </c>
      <c r="K4" s="102">
        <v>4.166666666666667</v>
      </c>
    </row>
    <row r="5" spans="1:11" ht="16" x14ac:dyDescent="0.2">
      <c r="A5" s="31" t="s">
        <v>14</v>
      </c>
      <c r="B5" s="95">
        <f>-(2/3)*1</f>
        <v>-0.66666666666666663</v>
      </c>
      <c r="C5" s="29">
        <f>(0.01*100)</f>
        <v>1</v>
      </c>
      <c r="D5" s="29">
        <f>(0.01*100)</f>
        <v>1</v>
      </c>
      <c r="E5" s="29">
        <f>(0.01*100)</f>
        <v>1</v>
      </c>
      <c r="F5" s="29">
        <f>(0.01*100)</f>
        <v>1</v>
      </c>
      <c r="G5" s="29">
        <f>(0.01*100)</f>
        <v>1</v>
      </c>
      <c r="H5" s="29">
        <f>1</f>
        <v>1</v>
      </c>
      <c r="I5" s="29">
        <f>(0.01*100)</f>
        <v>1</v>
      </c>
      <c r="J5" s="29">
        <v>1</v>
      </c>
      <c r="K5" s="99">
        <v>101</v>
      </c>
    </row>
    <row r="6" spans="1:11" x14ac:dyDescent="0.2">
      <c r="A6" s="31"/>
      <c r="B6" s="95"/>
      <c r="C6" s="29"/>
      <c r="D6" s="29"/>
      <c r="E6" s="29"/>
      <c r="F6" s="29"/>
      <c r="G6" s="29"/>
      <c r="H6" s="29"/>
      <c r="I6" s="29"/>
      <c r="J6" s="29"/>
      <c r="K6" s="29"/>
    </row>
    <row r="7" spans="1:11" ht="16" x14ac:dyDescent="0.2">
      <c r="A7" s="31"/>
      <c r="B7" s="95" t="s">
        <v>19</v>
      </c>
      <c r="C7" s="90">
        <v>0.17</v>
      </c>
      <c r="D7" s="74">
        <v>0.67</v>
      </c>
      <c r="E7" s="29">
        <v>1.17</v>
      </c>
      <c r="F7" s="29">
        <v>1.67</v>
      </c>
      <c r="G7" s="30">
        <v>2.17</v>
      </c>
      <c r="H7" s="30">
        <v>2.67</v>
      </c>
      <c r="I7" s="30">
        <v>3.17</v>
      </c>
      <c r="J7" s="30">
        <v>3.67</v>
      </c>
      <c r="K7" s="97">
        <v>4.17</v>
      </c>
    </row>
    <row r="8" spans="1:11" x14ac:dyDescent="0.2">
      <c r="A8" s="33"/>
      <c r="B8" s="33" t="s">
        <v>9</v>
      </c>
      <c r="C8" s="94">
        <f>((A21-C7) *B20+(C7-A20)*B21 )/(A21-A20)</f>
        <v>1.4262652941176472E-3</v>
      </c>
      <c r="D8" s="94">
        <f>((A23-D7) *B22+(D7-A22)*B23 )/(A23-A22)</f>
        <v>1.0942334400000002E-2</v>
      </c>
      <c r="E8" s="133">
        <f>($B$25- $B$24)/($A$25- $A$24)*(E7-$A$24) + $B$24</f>
        <v>2.042420054790315E-2</v>
      </c>
      <c r="F8" s="94">
        <f t="shared" ref="F8:G8" si="0">($B$25- $B$24)/($A$25- $A$24)*(F7-$A$24) + $B$24</f>
        <v>2.1886581643709446E-2</v>
      </c>
      <c r="G8" s="94">
        <f t="shared" si="0"/>
        <v>2.3348962739515745E-2</v>
      </c>
      <c r="H8" s="94">
        <f>((A26-H7) *B25+(H7-A25)*B26 )/(A26-A25)</f>
        <v>2.4606499328905625E-2</v>
      </c>
      <c r="I8" s="94">
        <f>((A26-I7) *B25+(I7-A25)*B26 )/(A26-A25)</f>
        <v>2.5466396582310692E-2</v>
      </c>
      <c r="J8" s="94">
        <f>(-(J7-A26)*B25+(J7-A25)*B26)/(A26-A25)</f>
        <v>2.6326293835715758E-2</v>
      </c>
      <c r="K8" s="94">
        <f>(-(K7-A26)*B25+(K7-A25)*B26)/(A26-A25)</f>
        <v>2.718619108912082E-2</v>
      </c>
    </row>
    <row r="9" spans="1:11" x14ac:dyDescent="0.2">
      <c r="A9" s="33"/>
      <c r="B9" s="33" t="s">
        <v>37</v>
      </c>
      <c r="C9" s="20">
        <f t="shared" ref="C9:I9" si="1">C5*(1+C8)^(-C4)</f>
        <v>0.99976248668677759</v>
      </c>
      <c r="D9" s="20">
        <f t="shared" si="1"/>
        <v>0.9927709890910168</v>
      </c>
      <c r="E9" s="20">
        <f t="shared" si="1"/>
        <v>0.97668786507527094</v>
      </c>
      <c r="F9" s="20">
        <f t="shared" si="1"/>
        <v>0.96455909226262315</v>
      </c>
      <c r="G9" s="20">
        <f t="shared" si="1"/>
        <v>0.95122195800583431</v>
      </c>
      <c r="H9" s="20">
        <f t="shared" si="1"/>
        <v>0.93723331203824467</v>
      </c>
      <c r="I9" s="20">
        <f t="shared" si="1"/>
        <v>0.92345441148586072</v>
      </c>
      <c r="J9" s="20">
        <f>J5*(1+J8)^(-J7)</f>
        <v>0.90903871274880832</v>
      </c>
      <c r="K9" s="20">
        <f>K5*(1+K8)^(-K7)</f>
        <v>90.311763982825454</v>
      </c>
    </row>
    <row r="10" spans="1:11" x14ac:dyDescent="0.2">
      <c r="A10" s="24"/>
      <c r="B10" s="96"/>
      <c r="C10" s="12"/>
      <c r="D10" s="12"/>
      <c r="E10" s="12"/>
      <c r="F10" s="12"/>
      <c r="G10" s="13"/>
      <c r="H10" s="13"/>
      <c r="I10" s="13"/>
      <c r="J10" s="13"/>
      <c r="K10" s="100"/>
    </row>
    <row r="11" spans="1:11" x14ac:dyDescent="0.2">
      <c r="A11" s="28" t="s">
        <v>32</v>
      </c>
      <c r="B11" s="29"/>
      <c r="C11" s="34">
        <f>C4*C9</f>
        <v>0.16662708111446292</v>
      </c>
      <c r="D11" s="34">
        <f t="shared" ref="D11:K11" si="2">D4*D9</f>
        <v>0.66184732606067787</v>
      </c>
      <c r="E11" s="34">
        <f t="shared" si="2"/>
        <v>1.1394691759211495</v>
      </c>
      <c r="F11" s="34">
        <f t="shared" si="2"/>
        <v>1.607598487104372</v>
      </c>
      <c r="G11" s="34">
        <f t="shared" si="2"/>
        <v>2.060980909012641</v>
      </c>
      <c r="H11" s="34">
        <f t="shared" si="2"/>
        <v>2.4992888321019855</v>
      </c>
      <c r="I11" s="34">
        <f t="shared" si="2"/>
        <v>2.9242723030385589</v>
      </c>
      <c r="J11" s="34">
        <f t="shared" si="2"/>
        <v>3.3331419467456302</v>
      </c>
      <c r="K11" s="34">
        <f t="shared" si="2"/>
        <v>376.29901659510608</v>
      </c>
    </row>
    <row r="12" spans="1:11" x14ac:dyDescent="0.2">
      <c r="A12" s="104" t="s">
        <v>33</v>
      </c>
      <c r="B12" s="103"/>
      <c r="C12" s="103">
        <f>C4*(C4+1)*C5*(1+C8)^(-C4-2)</f>
        <v>0.19384491841538321</v>
      </c>
      <c r="D12" s="103">
        <f t="shared" ref="D12:K12" si="3">D4*(D4+1)*D5*(1+D8)^(-D4-2)</f>
        <v>1.0793288884171557</v>
      </c>
      <c r="E12" s="103">
        <f t="shared" si="3"/>
        <v>2.3710088971849346</v>
      </c>
      <c r="F12" s="103">
        <f t="shared" si="3"/>
        <v>4.1052624619529734</v>
      </c>
      <c r="G12" s="103">
        <f t="shared" si="3"/>
        <v>6.2320196218749571</v>
      </c>
      <c r="H12" s="103">
        <f t="shared" si="3"/>
        <v>8.7291843675891005</v>
      </c>
      <c r="I12" s="103">
        <f t="shared" si="3"/>
        <v>11.586805105514642</v>
      </c>
      <c r="J12" s="103">
        <f t="shared" si="3"/>
        <v>14.768190895629386</v>
      </c>
      <c r="K12" s="103">
        <f t="shared" si="3"/>
        <v>1842.8246493143477</v>
      </c>
    </row>
    <row r="13" spans="1:11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</row>
    <row r="14" spans="1:11" x14ac:dyDescent="0.2">
      <c r="A14" s="28"/>
      <c r="B14" s="29"/>
      <c r="C14" s="116" t="s">
        <v>27</v>
      </c>
      <c r="D14" s="93">
        <f>SUM(C9:K9)</f>
        <v>97.96649281021989</v>
      </c>
      <c r="E14" s="29"/>
      <c r="F14" s="29"/>
      <c r="G14" s="29"/>
      <c r="H14" s="29"/>
      <c r="I14" s="29"/>
      <c r="J14" s="29"/>
      <c r="K14" s="29"/>
    </row>
    <row r="15" spans="1:11" x14ac:dyDescent="0.2">
      <c r="A15" s="28"/>
      <c r="B15" s="29"/>
      <c r="C15" s="117"/>
      <c r="D15" s="29"/>
      <c r="E15" s="29"/>
      <c r="F15" s="29"/>
      <c r="G15" s="29"/>
      <c r="H15" s="29"/>
      <c r="I15" s="29"/>
      <c r="J15" s="29"/>
      <c r="K15" s="29"/>
    </row>
    <row r="16" spans="1:11" x14ac:dyDescent="0.2">
      <c r="A16" s="28"/>
      <c r="B16" s="28"/>
      <c r="C16" s="127" t="s">
        <v>34</v>
      </c>
      <c r="D16" s="85">
        <f>SUM(C11:K11)/D14</f>
        <v>3.9880190813103034</v>
      </c>
      <c r="E16" s="29"/>
      <c r="F16" s="29"/>
      <c r="G16" s="29"/>
      <c r="H16" s="29"/>
      <c r="I16" s="29"/>
      <c r="J16" s="29"/>
      <c r="K16" s="29"/>
    </row>
    <row r="17" spans="1:11" x14ac:dyDescent="0.2">
      <c r="A17" s="14"/>
      <c r="B17" s="28"/>
      <c r="C17" s="127" t="s">
        <v>35</v>
      </c>
      <c r="D17" s="93">
        <f>SUM(C12:K12)/D14</f>
        <v>19.311605837884642</v>
      </c>
      <c r="E17" s="15"/>
      <c r="F17" s="15"/>
      <c r="G17" s="29"/>
      <c r="H17" s="29"/>
      <c r="I17" s="29"/>
      <c r="J17" s="29"/>
      <c r="K17" s="29"/>
    </row>
    <row r="20" spans="1:11" x14ac:dyDescent="0.2">
      <c r="A20" s="130">
        <v>0.08</v>
      </c>
      <c r="B20" s="156">
        <v>3.5121000000000002E-4</v>
      </c>
      <c r="C20" s="134"/>
    </row>
    <row r="21" spans="1:11" x14ac:dyDescent="0.2">
      <c r="A21" s="130">
        <v>0.42</v>
      </c>
      <c r="B21" s="156">
        <v>4.4125299999999996E-3</v>
      </c>
      <c r="C21" s="134"/>
    </row>
    <row r="22" spans="1:11" x14ac:dyDescent="0.2">
      <c r="A22" s="130">
        <v>0.5</v>
      </c>
      <c r="B22" s="156">
        <v>6.0676999999999997E-3</v>
      </c>
      <c r="C22" s="134"/>
    </row>
    <row r="23" spans="1:11" x14ac:dyDescent="0.2">
      <c r="A23" s="130">
        <v>0.75</v>
      </c>
      <c r="B23" s="156">
        <v>1.323628E-2</v>
      </c>
      <c r="C23" s="134"/>
    </row>
    <row r="24" spans="1:11" x14ac:dyDescent="0.2">
      <c r="A24" s="130">
        <v>0.92</v>
      </c>
      <c r="B24" s="156">
        <v>1.969301E-2</v>
      </c>
      <c r="C24" s="134"/>
    </row>
    <row r="25" spans="1:11" x14ac:dyDescent="0.2">
      <c r="A25" s="131">
        <v>2.5</v>
      </c>
      <c r="B25" s="154">
        <v>2.4314134262747901E-2</v>
      </c>
    </row>
    <row r="26" spans="1:11" x14ac:dyDescent="0.2">
      <c r="A26" s="129">
        <v>3.25</v>
      </c>
      <c r="B26" s="152">
        <v>2.56039801428555E-2</v>
      </c>
    </row>
  </sheetData>
  <mergeCells count="1">
    <mergeCell ref="A1: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72D1E-A232-8848-B579-BC2A467D0A50}">
  <sheetPr>
    <tabColor rgb="FF92D050"/>
  </sheetPr>
  <dimension ref="A1:O26"/>
  <sheetViews>
    <sheetView showGridLines="0" zoomScale="117" workbookViewId="0">
      <selection activeCell="B25" sqref="B25"/>
    </sheetView>
  </sheetViews>
  <sheetFormatPr baseColWidth="10" defaultColWidth="11.5" defaultRowHeight="15" x14ac:dyDescent="0.2"/>
  <cols>
    <col min="3" max="3" width="11.5" customWidth="1"/>
    <col min="5" max="5" width="10.6640625" customWidth="1"/>
    <col min="13" max="13" width="21.33203125" customWidth="1"/>
  </cols>
  <sheetData>
    <row r="1" spans="1:15" x14ac:dyDescent="0.2">
      <c r="A1" s="145" t="s">
        <v>36</v>
      </c>
      <c r="B1" s="146"/>
      <c r="C1" s="146"/>
      <c r="D1" s="146"/>
      <c r="E1" s="146"/>
      <c r="F1" s="146"/>
      <c r="G1" s="146"/>
      <c r="H1" s="146"/>
      <c r="I1" s="146"/>
      <c r="J1" s="146"/>
      <c r="K1" s="149"/>
    </row>
    <row r="2" spans="1:15" x14ac:dyDescent="0.2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</row>
    <row r="3" spans="1:15" ht="16" x14ac:dyDescent="0.2">
      <c r="A3" s="31" t="s">
        <v>10</v>
      </c>
      <c r="B3" s="32">
        <v>45748</v>
      </c>
      <c r="C3" s="32">
        <v>45809</v>
      </c>
      <c r="D3" s="32">
        <v>45992</v>
      </c>
      <c r="E3" s="32">
        <v>46174</v>
      </c>
      <c r="F3" s="32">
        <v>46357</v>
      </c>
      <c r="G3" s="32">
        <v>46539</v>
      </c>
      <c r="H3" s="32">
        <v>46722</v>
      </c>
      <c r="I3" s="32">
        <v>46905</v>
      </c>
      <c r="J3" s="32">
        <v>47088</v>
      </c>
      <c r="K3" s="98">
        <v>47270</v>
      </c>
    </row>
    <row r="4" spans="1:15" ht="16" x14ac:dyDescent="0.2">
      <c r="A4" s="31" t="s">
        <v>12</v>
      </c>
      <c r="B4" s="101">
        <v>0</v>
      </c>
      <c r="C4" s="34">
        <f>2/12</f>
        <v>0.16666666666666666</v>
      </c>
      <c r="D4" s="34">
        <f>C4+0.5</f>
        <v>0.66666666666666663</v>
      </c>
      <c r="E4" s="34">
        <f>14/12</f>
        <v>1.1666666666666667</v>
      </c>
      <c r="F4" s="34">
        <v>1.6666666666666667</v>
      </c>
      <c r="G4" s="34">
        <v>2.1666666666666665</v>
      </c>
      <c r="H4" s="34">
        <v>2.6666666666666665</v>
      </c>
      <c r="I4" s="34">
        <v>3.1666666666666665</v>
      </c>
      <c r="J4" s="34">
        <v>3.6666666666666665</v>
      </c>
      <c r="K4" s="102">
        <v>4.166666666666667</v>
      </c>
    </row>
    <row r="5" spans="1:15" ht="16" x14ac:dyDescent="0.2">
      <c r="A5" s="31" t="s">
        <v>14</v>
      </c>
      <c r="B5" s="95">
        <f>-(2/3)*1</f>
        <v>-0.66666666666666663</v>
      </c>
      <c r="C5" s="29">
        <f>(0.01*100)</f>
        <v>1</v>
      </c>
      <c r="D5" s="29">
        <f>(0.01*100)</f>
        <v>1</v>
      </c>
      <c r="E5" s="29">
        <f>(0.01*100)</f>
        <v>1</v>
      </c>
      <c r="F5" s="29">
        <f>(0.01*100)</f>
        <v>1</v>
      </c>
      <c r="G5" s="29">
        <f>(0.01*100)</f>
        <v>1</v>
      </c>
      <c r="H5" s="29">
        <f>1</f>
        <v>1</v>
      </c>
      <c r="I5" s="29">
        <f>(0.01*100)</f>
        <v>1</v>
      </c>
      <c r="J5" s="29">
        <v>1</v>
      </c>
      <c r="K5" s="99">
        <v>101</v>
      </c>
    </row>
    <row r="6" spans="1:15" x14ac:dyDescent="0.2">
      <c r="A6" s="31"/>
      <c r="B6" s="95"/>
      <c r="C6" s="29"/>
      <c r="D6" s="29"/>
      <c r="E6" s="29"/>
      <c r="F6" s="29"/>
      <c r="G6" s="29"/>
      <c r="H6" s="29"/>
      <c r="I6" s="29"/>
      <c r="J6" s="29"/>
      <c r="K6" s="29"/>
    </row>
    <row r="7" spans="1:15" ht="16" x14ac:dyDescent="0.2">
      <c r="A7" s="31"/>
      <c r="B7" s="95" t="s">
        <v>19</v>
      </c>
      <c r="C7" s="90">
        <v>0.17</v>
      </c>
      <c r="D7" s="74">
        <v>0.67</v>
      </c>
      <c r="E7" s="29">
        <v>1.17</v>
      </c>
      <c r="F7" s="29">
        <v>1.67</v>
      </c>
      <c r="G7" s="30">
        <v>2.17</v>
      </c>
      <c r="H7" s="30">
        <v>2.67</v>
      </c>
      <c r="I7" s="30">
        <v>3.17</v>
      </c>
      <c r="J7" s="30">
        <v>3.67</v>
      </c>
      <c r="K7" s="97">
        <v>4.17</v>
      </c>
    </row>
    <row r="8" spans="1:15" x14ac:dyDescent="0.2">
      <c r="A8" s="33"/>
      <c r="B8" s="33" t="s">
        <v>9</v>
      </c>
      <c r="C8" s="94">
        <f>((A21-C7) *B20+(C7-A20)*B21 )/(A21-A20)</f>
        <v>1.0262352941176472E-3</v>
      </c>
      <c r="D8" s="94">
        <f>((A23-D7) *B22+(D7-A22)*B23 )/(A23-A22)</f>
        <v>1.0542240000000001E-2</v>
      </c>
      <c r="E8" s="133">
        <f>($B$25- $B$24)/($A$25- $A$24)*(E7-$A$24) + $B$24</f>
        <v>2.0088538695937311E-2</v>
      </c>
      <c r="F8" s="94">
        <f t="shared" ref="F8:G8" si="0">($B$25- $B$24)/($A$25- $A$24)*(F7-$A$24) + $B$24</f>
        <v>2.167961608781193E-2</v>
      </c>
      <c r="G8" s="94">
        <f t="shared" si="0"/>
        <v>2.3270693479686549E-2</v>
      </c>
      <c r="H8" s="94">
        <f>((A26-H7) *B25+(H7-A25)*B26 )/(A26-A25)</f>
        <v>2.4611657690817648E-2</v>
      </c>
      <c r="I8" s="94">
        <f>((A26-I7) *B25+(I7-A25)*B26 )/(A26-A25)</f>
        <v>2.5467108080505452E-2</v>
      </c>
      <c r="J8" s="94">
        <f>(-(J7-A26)*B25+(J7-A25)*B26)/(A26-A25)</f>
        <v>2.6322558470193252E-2</v>
      </c>
      <c r="K8" s="94">
        <f>(-(K7-A26)*B25+(K7-A25)*B26)/(A26-A25)</f>
        <v>2.7178008859881055E-2</v>
      </c>
    </row>
    <row r="9" spans="1:15" x14ac:dyDescent="0.2">
      <c r="A9" s="33"/>
      <c r="B9" s="33" t="s">
        <v>37</v>
      </c>
      <c r="C9" s="20">
        <f t="shared" ref="C9:I9" si="1">C5*(1+C8)^(-C4)</f>
        <v>0.99982906309893316</v>
      </c>
      <c r="D9" s="20">
        <f t="shared" si="1"/>
        <v>0.99303301073446715</v>
      </c>
      <c r="E9" s="20">
        <f t="shared" si="1"/>
        <v>0.9770628196074056</v>
      </c>
      <c r="F9" s="20">
        <f t="shared" si="1"/>
        <v>0.96488477163942521</v>
      </c>
      <c r="G9" s="20">
        <f t="shared" si="1"/>
        <v>0.95137960802830246</v>
      </c>
      <c r="H9" s="20">
        <f t="shared" si="1"/>
        <v>0.93722072953234192</v>
      </c>
      <c r="I9" s="20">
        <f t="shared" si="1"/>
        <v>0.92345238254423623</v>
      </c>
      <c r="J9" s="20">
        <f>J5*(1+J8)^(-J7)</f>
        <v>0.90905085501597038</v>
      </c>
      <c r="K9" s="20">
        <f>K5*(1+K8)^(-K7)</f>
        <v>90.314763917468923</v>
      </c>
    </row>
    <row r="10" spans="1:15" x14ac:dyDescent="0.2">
      <c r="A10" s="24"/>
      <c r="B10" s="96"/>
      <c r="C10" s="12"/>
      <c r="D10" s="12"/>
      <c r="E10" s="12"/>
      <c r="F10" s="12"/>
      <c r="G10" s="13"/>
      <c r="H10" s="13"/>
      <c r="I10" s="13"/>
      <c r="J10" s="13"/>
      <c r="K10" s="100"/>
    </row>
    <row r="11" spans="1:15" x14ac:dyDescent="0.2">
      <c r="A11" s="28" t="s">
        <v>32</v>
      </c>
      <c r="B11" s="29"/>
      <c r="C11" s="34">
        <f>C4*C9</f>
        <v>0.16663817718315552</v>
      </c>
      <c r="D11" s="34">
        <f t="shared" ref="D11:K11" si="2">D4*D9</f>
        <v>0.66202200715631143</v>
      </c>
      <c r="E11" s="34">
        <f t="shared" si="2"/>
        <v>1.1399066228753065</v>
      </c>
      <c r="F11" s="34">
        <f t="shared" si="2"/>
        <v>1.6081412860657087</v>
      </c>
      <c r="G11" s="34">
        <f t="shared" si="2"/>
        <v>2.0613224840613218</v>
      </c>
      <c r="H11" s="34">
        <f t="shared" si="2"/>
        <v>2.4992552787529116</v>
      </c>
      <c r="I11" s="34">
        <f t="shared" si="2"/>
        <v>2.9242658780567479</v>
      </c>
      <c r="J11" s="34">
        <f t="shared" si="2"/>
        <v>3.3331864683918915</v>
      </c>
      <c r="K11" s="34">
        <f t="shared" si="2"/>
        <v>376.31151632278721</v>
      </c>
    </row>
    <row r="12" spans="1:15" x14ac:dyDescent="0.2">
      <c r="A12" s="104" t="s">
        <v>33</v>
      </c>
      <c r="B12" s="103"/>
      <c r="C12" s="103">
        <f>C4*(C4+1)*C5*(1+C8)^(-C4-2)</f>
        <v>0.19401279682815079</v>
      </c>
      <c r="D12" s="103">
        <f t="shared" ref="D12:K12" si="3">D4*(D4+1)*D5*(1+D8)^(-D4-2)</f>
        <v>1.0804688069437489</v>
      </c>
      <c r="E12" s="103">
        <f t="shared" si="3"/>
        <v>2.3734803621531206</v>
      </c>
      <c r="F12" s="103">
        <f t="shared" si="3"/>
        <v>4.1083125544067096</v>
      </c>
      <c r="G12" s="103">
        <f t="shared" si="3"/>
        <v>6.2340060408603808</v>
      </c>
      <c r="H12" s="103">
        <f t="shared" si="3"/>
        <v>8.7289792849228505</v>
      </c>
      <c r="I12" s="103">
        <f t="shared" si="3"/>
        <v>11.586763569427184</v>
      </c>
      <c r="J12" s="103">
        <f t="shared" si="3"/>
        <v>14.768495480188804</v>
      </c>
      <c r="K12" s="103">
        <f t="shared" si="3"/>
        <v>1842.915174485235</v>
      </c>
      <c r="M12" s="116" t="s">
        <v>38</v>
      </c>
      <c r="N12" s="119">
        <f>0.4*'punto 1'!C14+0.6*'punto 4 -0,02'!D16</f>
        <v>3.1808921233281526</v>
      </c>
    </row>
    <row r="13" spans="1:15" x14ac:dyDescent="0.2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M13" s="125"/>
      <c r="N13" s="126"/>
    </row>
    <row r="14" spans="1:15" x14ac:dyDescent="0.2">
      <c r="A14" s="28"/>
      <c r="B14" s="29"/>
      <c r="C14" s="116" t="s">
        <v>27</v>
      </c>
      <c r="D14" s="93">
        <f>SUM(C9:K9)</f>
        <v>97.970677157670011</v>
      </c>
      <c r="E14" s="29"/>
      <c r="F14" s="29"/>
      <c r="G14" s="29"/>
      <c r="H14" s="29"/>
      <c r="I14" s="29"/>
      <c r="J14" s="29"/>
      <c r="K14" s="29"/>
      <c r="M14" s="116" t="s">
        <v>39</v>
      </c>
      <c r="N14" s="119">
        <f>0.4*'punto 1'!C15 + 0.6*'punto 4 -0,02'!D17</f>
        <v>13.816674120841943</v>
      </c>
    </row>
    <row r="15" spans="1:15" x14ac:dyDescent="0.2">
      <c r="A15" s="28"/>
      <c r="B15" s="29"/>
      <c r="C15" s="117"/>
      <c r="D15" s="29"/>
      <c r="E15" s="29"/>
      <c r="F15" s="29"/>
      <c r="G15" s="29"/>
      <c r="H15" s="29"/>
      <c r="I15" s="29"/>
      <c r="J15" s="29"/>
      <c r="K15" s="29"/>
      <c r="M15" s="125"/>
      <c r="N15" s="9" t="s">
        <v>40</v>
      </c>
      <c r="O15" s="9" t="s">
        <v>41</v>
      </c>
    </row>
    <row r="16" spans="1:15" x14ac:dyDescent="0.2">
      <c r="A16" s="28"/>
      <c r="B16" s="28"/>
      <c r="C16" s="127" t="s">
        <v>34</v>
      </c>
      <c r="D16" s="85">
        <f>SUM(C11:K11)/D14</f>
        <v>3.9879917732582766</v>
      </c>
      <c r="E16" s="29"/>
      <c r="F16" s="29"/>
      <c r="G16" s="29"/>
      <c r="H16" s="29"/>
      <c r="I16" s="29"/>
      <c r="J16" s="29"/>
      <c r="K16" s="29"/>
      <c r="M16" s="116" t="s">
        <v>42</v>
      </c>
      <c r="N16" s="119">
        <f>(4000*N18*(3-2))/ (D14*( 4.17-2))</f>
        <v>1746.2584958455921</v>
      </c>
      <c r="O16" s="119">
        <f>4000*N18*(4.17-3)/('punto 1'!C12*(4.17-2))</f>
        <v>2011.8061146869125</v>
      </c>
    </row>
    <row r="17" spans="1:14" x14ac:dyDescent="0.2">
      <c r="A17" s="14"/>
      <c r="B17" s="28"/>
      <c r="C17" s="127" t="s">
        <v>35</v>
      </c>
      <c r="D17" s="93">
        <f>SUM(C12:K12)/D14</f>
        <v>19.311795613457637</v>
      </c>
      <c r="E17" s="15"/>
      <c r="F17" s="15"/>
      <c r="G17" s="29"/>
      <c r="H17" s="29"/>
      <c r="I17" s="29"/>
      <c r="J17" s="29"/>
      <c r="K17" s="29"/>
    </row>
    <row r="18" spans="1:14" x14ac:dyDescent="0.2">
      <c r="M18" t="s">
        <v>43</v>
      </c>
      <c r="N18">
        <f>100*(1+N19)^(-3)</f>
        <v>92.812054076702367</v>
      </c>
    </row>
    <row r="19" spans="1:14" x14ac:dyDescent="0.2">
      <c r="M19" t="s">
        <v>48</v>
      </c>
      <c r="N19">
        <f>((A26-3) *B25+(3-A25)*B26 )/(A26-A25)</f>
        <v>2.5176254948011598E-2</v>
      </c>
    </row>
    <row r="20" spans="1:14" x14ac:dyDescent="0.2">
      <c r="A20" s="130">
        <v>0.08</v>
      </c>
      <c r="B20" s="128">
        <v>-4.8999999999999998E-5</v>
      </c>
    </row>
    <row r="21" spans="1:14" x14ac:dyDescent="0.2">
      <c r="A21" s="130">
        <v>0.42</v>
      </c>
      <c r="B21" s="128">
        <v>4.0130000000000001E-3</v>
      </c>
    </row>
    <row r="22" spans="1:14" x14ac:dyDescent="0.2">
      <c r="A22" s="130">
        <v>0.5</v>
      </c>
      <c r="B22" s="128">
        <v>5.6680000000000003E-3</v>
      </c>
    </row>
    <row r="23" spans="1:14" x14ac:dyDescent="0.2">
      <c r="A23" s="130">
        <v>0.75</v>
      </c>
      <c r="B23" s="128">
        <v>1.2836E-2</v>
      </c>
    </row>
    <row r="24" spans="1:14" x14ac:dyDescent="0.2">
      <c r="A24" s="130">
        <v>0.92</v>
      </c>
      <c r="B24" s="128">
        <v>1.9293000000000001E-2</v>
      </c>
    </row>
    <row r="25" spans="1:14" x14ac:dyDescent="0.2">
      <c r="A25" s="131">
        <v>2.5</v>
      </c>
      <c r="B25" s="132">
        <v>2.4320804558323798E-2</v>
      </c>
    </row>
    <row r="26" spans="1:14" x14ac:dyDescent="0.2">
      <c r="A26" s="129">
        <v>3.25</v>
      </c>
      <c r="B26" s="135">
        <v>2.56039801428555E-2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curva_i (punto 1)</vt:lpstr>
      <vt:lpstr>punto 1</vt:lpstr>
      <vt:lpstr>+0,02</vt:lpstr>
      <vt:lpstr>-0,02</vt:lpstr>
      <vt:lpstr>punto 4 + 5 + 6</vt:lpstr>
      <vt:lpstr>punto 4 +0,02</vt:lpstr>
      <vt:lpstr>punto 4 -0,02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</dc:creator>
  <cp:keywords/>
  <dc:description/>
  <cp:lastModifiedBy>Noemi Ferrarese</cp:lastModifiedBy>
  <cp:revision/>
  <dcterms:created xsi:type="dcterms:W3CDTF">2019-03-26T09:39:23Z</dcterms:created>
  <dcterms:modified xsi:type="dcterms:W3CDTF">2025-04-30T16:25:44Z</dcterms:modified>
  <cp:category/>
  <cp:contentStatus/>
</cp:coreProperties>
</file>