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1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polimi365-my.sharepoint.com/personal/10897670_polimi_it/Documents/Lab Mat Fin/"/>
    </mc:Choice>
  </mc:AlternateContent>
  <xr:revisionPtr revIDLastSave="807" documentId="8_{6B6352C3-6899-2449-819E-6D5D06A1AECB}" xr6:coauthVersionLast="47" xr6:coauthVersionMax="47" xr10:uidLastSave="{E33A7638-FF83-424E-B5B5-B296D0EE1C9F}"/>
  <bookViews>
    <workbookView xWindow="0" yWindow="0" windowWidth="28800" windowHeight="18000" activeTab="8" xr2:uid="{2D11541C-DB09-4379-9BE9-B8D69BDF52E3}"/>
  </bookViews>
  <sheets>
    <sheet name="TIR A" sheetId="7" r:id="rId1"/>
    <sheet name="TIR A + tax" sheetId="10" r:id="rId2"/>
    <sheet name="TIR B" sheetId="15" r:id="rId3"/>
    <sheet name="TIR B + tax" sheetId="16" r:id="rId4"/>
    <sheet name="TIR C" sheetId="17" r:id="rId5"/>
    <sheet name="TIR C + tax" sheetId="19" r:id="rId6"/>
    <sheet name="TIR A+C tax" sheetId="20" r:id="rId7"/>
    <sheet name="TIR B+C tax" sheetId="21" r:id="rId8"/>
    <sheet name="TIR A+B+C tax" sheetId="22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22" l="1"/>
  <c r="E8" i="22"/>
  <c r="E6" i="22"/>
  <c r="D30" i="22" s="1"/>
  <c r="D32" i="22"/>
  <c r="C21" i="10"/>
  <c r="C18" i="15"/>
  <c r="D16" i="10"/>
  <c r="D47" i="22"/>
  <c r="D40" i="22"/>
  <c r="D31" i="22"/>
  <c r="D35" i="22"/>
  <c r="D29" i="22"/>
  <c r="F7" i="22"/>
  <c r="F8" i="22"/>
  <c r="D8" i="22"/>
  <c r="D7" i="22"/>
  <c r="D6" i="22"/>
  <c r="C19" i="22"/>
  <c r="C16" i="22"/>
  <c r="C21" i="22"/>
  <c r="C20" i="22"/>
  <c r="C18" i="22"/>
  <c r="C17" i="22"/>
  <c r="D39" i="21"/>
  <c r="D32" i="21"/>
  <c r="D26" i="21"/>
  <c r="D24" i="21"/>
  <c r="D23" i="21"/>
  <c r="C42" i="21"/>
  <c r="E38" i="21" s="1"/>
  <c r="D22" i="21"/>
  <c r="D27" i="21"/>
  <c r="D25" i="21"/>
  <c r="C16" i="21"/>
  <c r="C15" i="21"/>
  <c r="C14" i="21"/>
  <c r="C13" i="21"/>
  <c r="D36" i="20"/>
  <c r="D26" i="20"/>
  <c r="C16" i="20"/>
  <c r="C14" i="20"/>
  <c r="D27" i="20"/>
  <c r="D25" i="20"/>
  <c r="D24" i="20"/>
  <c r="D23" i="20"/>
  <c r="D22" i="20"/>
  <c r="C24" i="20"/>
  <c r="C15" i="20"/>
  <c r="C13" i="20"/>
  <c r="D27" i="19"/>
  <c r="D17" i="19"/>
  <c r="D18" i="19"/>
  <c r="D19" i="19"/>
  <c r="D20" i="19"/>
  <c r="D21" i="19"/>
  <c r="D22" i="19"/>
  <c r="D23" i="19"/>
  <c r="D24" i="19"/>
  <c r="D25" i="19"/>
  <c r="D26" i="19"/>
  <c r="D16" i="19"/>
  <c r="D15" i="19"/>
  <c r="C10" i="19"/>
  <c r="C9" i="19"/>
  <c r="C16" i="19"/>
  <c r="C17" i="19" s="1"/>
  <c r="C18" i="19" s="1"/>
  <c r="C19" i="19" s="1"/>
  <c r="C20" i="19" s="1"/>
  <c r="C21" i="19" s="1"/>
  <c r="C22" i="19" s="1"/>
  <c r="C23" i="19" s="1"/>
  <c r="C24" i="19" s="1"/>
  <c r="C25" i="19" s="1"/>
  <c r="C26" i="19" s="1"/>
  <c r="C27" i="19" s="1"/>
  <c r="C6" i="19"/>
  <c r="C5" i="17"/>
  <c r="C13" i="17"/>
  <c r="C14" i="17"/>
  <c r="C15" i="17" s="1"/>
  <c r="C16" i="17" s="1"/>
  <c r="C17" i="17" s="1"/>
  <c r="C18" i="17" s="1"/>
  <c r="C19" i="17" s="1"/>
  <c r="C20" i="17" s="1"/>
  <c r="C21" i="17" s="1"/>
  <c r="C22" i="17" s="1"/>
  <c r="C12" i="17"/>
  <c r="C11" i="17"/>
  <c r="D12" i="17"/>
  <c r="D13" i="17"/>
  <c r="D14" i="17"/>
  <c r="D15" i="17"/>
  <c r="D16" i="17"/>
  <c r="D17" i="17"/>
  <c r="D18" i="17"/>
  <c r="D19" i="17"/>
  <c r="D20" i="17"/>
  <c r="D21" i="17"/>
  <c r="D11" i="17"/>
  <c r="D22" i="17"/>
  <c r="D10" i="17"/>
  <c r="C25" i="17" s="1"/>
  <c r="D20" i="16"/>
  <c r="D17" i="16"/>
  <c r="D18" i="16"/>
  <c r="D19" i="16"/>
  <c r="D16" i="16"/>
  <c r="D15" i="16"/>
  <c r="C22" i="16"/>
  <c r="E16" i="16" s="1"/>
  <c r="C20" i="16"/>
  <c r="C17" i="16"/>
  <c r="C16" i="16"/>
  <c r="C10" i="16"/>
  <c r="C9" i="16"/>
  <c r="E14" i="15"/>
  <c r="E10" i="15"/>
  <c r="E11" i="15"/>
  <c r="E12" i="15"/>
  <c r="E13" i="15"/>
  <c r="D14" i="15"/>
  <c r="D11" i="15"/>
  <c r="D12" i="15"/>
  <c r="D13" i="15"/>
  <c r="D10" i="15"/>
  <c r="D9" i="15"/>
  <c r="C14" i="15"/>
  <c r="C11" i="15"/>
  <c r="C10" i="15"/>
  <c r="D18" i="10"/>
  <c r="D17" i="10"/>
  <c r="C11" i="10"/>
  <c r="C10" i="10"/>
  <c r="C7" i="10"/>
  <c r="E17" i="10" s="1"/>
  <c r="C5" i="7"/>
  <c r="C18" i="10"/>
  <c r="C17" i="10"/>
  <c r="D12" i="7"/>
  <c r="D11" i="7"/>
  <c r="C12" i="7"/>
  <c r="C11" i="7"/>
  <c r="D10" i="7"/>
  <c r="F6" i="22" l="1"/>
  <c r="D28" i="22" s="1"/>
  <c r="D33" i="22"/>
  <c r="C50" i="22"/>
  <c r="E23" i="21"/>
  <c r="E37" i="21"/>
  <c r="E28" i="21"/>
  <c r="E36" i="21"/>
  <c r="E29" i="21"/>
  <c r="E35" i="21"/>
  <c r="E30" i="21"/>
  <c r="E31" i="21"/>
  <c r="E39" i="21"/>
  <c r="E34" i="21"/>
  <c r="E27" i="21"/>
  <c r="E33" i="21"/>
  <c r="E26" i="21"/>
  <c r="E32" i="21"/>
  <c r="E25" i="21"/>
  <c r="E24" i="21"/>
  <c r="C39" i="20"/>
  <c r="C30" i="19"/>
  <c r="E20" i="19" s="1"/>
  <c r="E18" i="17"/>
  <c r="E17" i="17"/>
  <c r="E16" i="17"/>
  <c r="E15" i="17"/>
  <c r="E22" i="17"/>
  <c r="E14" i="17"/>
  <c r="E21" i="17"/>
  <c r="E13" i="17"/>
  <c r="E20" i="17"/>
  <c r="E12" i="17"/>
  <c r="E19" i="17"/>
  <c r="E11" i="17"/>
  <c r="E15" i="16"/>
  <c r="E20" i="16"/>
  <c r="E19" i="16"/>
  <c r="E18" i="16"/>
  <c r="E17" i="16"/>
  <c r="E9" i="15"/>
  <c r="C20" i="15" s="1"/>
  <c r="E18" i="10"/>
  <c r="E16" i="10"/>
  <c r="C23" i="10" s="1"/>
  <c r="C15" i="7"/>
  <c r="E36" i="22" l="1"/>
  <c r="E44" i="22"/>
  <c r="E38" i="22"/>
  <c r="E46" i="22"/>
  <c r="E39" i="22"/>
  <c r="E47" i="22"/>
  <c r="E40" i="22"/>
  <c r="E41" i="22"/>
  <c r="E42" i="22"/>
  <c r="E43" i="22"/>
  <c r="E29" i="22"/>
  <c r="E37" i="22"/>
  <c r="E45" i="22"/>
  <c r="E31" i="22"/>
  <c r="E32" i="22"/>
  <c r="E33" i="22"/>
  <c r="E35" i="22"/>
  <c r="E30" i="22"/>
  <c r="E34" i="22"/>
  <c r="E28" i="22"/>
  <c r="E22" i="21"/>
  <c r="C44" i="21" s="1"/>
  <c r="E22" i="20"/>
  <c r="E23" i="20"/>
  <c r="E31" i="20"/>
  <c r="E24" i="20"/>
  <c r="E32" i="20"/>
  <c r="E25" i="20"/>
  <c r="E33" i="20"/>
  <c r="E26" i="20"/>
  <c r="E34" i="20"/>
  <c r="E27" i="20"/>
  <c r="E35" i="20"/>
  <c r="E28" i="20"/>
  <c r="E29" i="20"/>
  <c r="E30" i="20"/>
  <c r="E36" i="20"/>
  <c r="E16" i="19"/>
  <c r="E24" i="19"/>
  <c r="E23" i="19"/>
  <c r="E26" i="19"/>
  <c r="E27" i="19"/>
  <c r="E22" i="19"/>
  <c r="E19" i="19"/>
  <c r="E15" i="19"/>
  <c r="E18" i="19"/>
  <c r="E21" i="19"/>
  <c r="E17" i="19"/>
  <c r="E25" i="19"/>
  <c r="E10" i="17"/>
  <c r="C27" i="17" s="1"/>
  <c r="C24" i="16"/>
  <c r="E11" i="7"/>
  <c r="E12" i="7"/>
  <c r="E10" i="7"/>
  <c r="C52" i="22" l="1"/>
  <c r="C41" i="20"/>
  <c r="C32" i="19"/>
  <c r="C17" i="7"/>
</calcChain>
</file>

<file path=xl/sharedStrings.xml><?xml version="1.0" encoding="utf-8"?>
<sst xmlns="http://schemas.openxmlformats.org/spreadsheetml/2006/main" count="154" uniqueCount="43">
  <si>
    <t>CALCOLO TIR A - Acquisto 1 Maggio 2025</t>
  </si>
  <si>
    <t xml:space="preserve">Prezzo di acquisto </t>
  </si>
  <si>
    <t>Rateo -&gt;</t>
  </si>
  <si>
    <t>Prezzo di rimborso</t>
  </si>
  <si>
    <t>Cedola semestrale</t>
  </si>
  <si>
    <t>Date</t>
  </si>
  <si>
    <t>t</t>
  </si>
  <si>
    <t>Flussi</t>
  </si>
  <si>
    <t>Flussi attualizzati</t>
  </si>
  <si>
    <t>Calcolo TIR -&gt;</t>
  </si>
  <si>
    <t>Check TIR -&gt;</t>
  </si>
  <si>
    <t>Flussi al netto di tassazione</t>
  </si>
  <si>
    <t xml:space="preserve">Rateo </t>
  </si>
  <si>
    <t>Prezzo di emissione</t>
  </si>
  <si>
    <t>Plusvalenza</t>
  </si>
  <si>
    <t>Disaggio di emissione</t>
  </si>
  <si>
    <t>Tassazione</t>
  </si>
  <si>
    <t>CALCOLO TIR B - Acquisto 1 Maggio 2025</t>
  </si>
  <si>
    <t>CALCOLO TIR C - Acquisto 1 Maggio 2025</t>
  </si>
  <si>
    <t>CALCOLO TIR A+C - Acquisto 1 Maggio 2025</t>
  </si>
  <si>
    <t xml:space="preserve">Prezzo di acquisto (A) </t>
  </si>
  <si>
    <t xml:space="preserve">Prezzo di acquisto (C) </t>
  </si>
  <si>
    <t>Rateo (A)</t>
  </si>
  <si>
    <t>Rateo (C)</t>
  </si>
  <si>
    <t>Prezzo di emissione (A)</t>
  </si>
  <si>
    <t>Prezzo di emissione (C)</t>
  </si>
  <si>
    <t>Plusvalenza (A)</t>
  </si>
  <si>
    <t>Plusvalenza (C)</t>
  </si>
  <si>
    <t>Disaggio di emissione (A)</t>
  </si>
  <si>
    <t>Disaggio di emissione (C)</t>
  </si>
  <si>
    <t>Cedola semestrale (A)</t>
  </si>
  <si>
    <t>Cedola semestrale (C)</t>
  </si>
  <si>
    <t>CALCOLO TIR B+C - Acquisto 1 Maggio 2025</t>
  </si>
  <si>
    <t xml:space="preserve">Prezzo di acquisto (B) </t>
  </si>
  <si>
    <t>Rateo (B)</t>
  </si>
  <si>
    <t>Prezzo di emissione (B)</t>
  </si>
  <si>
    <t>Plusvalenza (B)</t>
  </si>
  <si>
    <t>Disaggio di emissione (B)</t>
  </si>
  <si>
    <t>Cedola semestrale (B)</t>
  </si>
  <si>
    <t>CALCOLO TIR A+B+C - Acquisto 1 Maggio 2025</t>
  </si>
  <si>
    <t>unità acquistate</t>
  </si>
  <si>
    <t>unità effettive acquistate</t>
  </si>
  <si>
    <t>capitale effettivo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</si>
</sst>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%"/>
    <numFmt numFmtId="165" formatCode="[$-410]d\-mmm\-yy;@"/>
    <numFmt numFmtId="166" formatCode="0.000"/>
    <numFmt numFmtId="167" formatCode="0.0000"/>
  </numFmts>
  <fonts count="8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4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164" fontId="2" fillId="0" borderId="0" xfId="0" applyNumberFormat="1" applyFont="1"/>
    <xf numFmtId="9" fontId="2" fillId="0" borderId="0" xfId="0" applyNumberFormat="1" applyFont="1"/>
    <xf numFmtId="0" fontId="3" fillId="0" borderId="0" xfId="0" applyFont="1"/>
    <xf numFmtId="0" fontId="4" fillId="0" borderId="1" xfId="0" applyFont="1" applyBorder="1"/>
    <xf numFmtId="0" fontId="4" fillId="3" borderId="2" xfId="0" applyFont="1" applyFill="1" applyBorder="1"/>
    <xf numFmtId="15" fontId="1" fillId="0" borderId="6" xfId="0" applyNumberFormat="1" applyFont="1" applyBorder="1"/>
    <xf numFmtId="15" fontId="1" fillId="0" borderId="8" xfId="0" applyNumberFormat="1" applyFont="1" applyBorder="1"/>
    <xf numFmtId="0" fontId="4" fillId="3" borderId="3" xfId="0" applyFont="1" applyFill="1" applyBorder="1" applyAlignment="1">
      <alignment horizontal="right" vertical="center"/>
    </xf>
    <xf numFmtId="0" fontId="4" fillId="3" borderId="4" xfId="0" applyFont="1" applyFill="1" applyBorder="1" applyAlignment="1">
      <alignment horizontal="right" vertical="center"/>
    </xf>
    <xf numFmtId="0" fontId="4" fillId="3" borderId="5" xfId="0" applyFont="1" applyFill="1" applyBorder="1" applyAlignment="1">
      <alignment horizontal="right" vertical="center"/>
    </xf>
    <xf numFmtId="2" fontId="1" fillId="0" borderId="0" xfId="0" applyNumberFormat="1" applyFont="1" applyAlignment="1">
      <alignment horizontal="right" vertical="center"/>
    </xf>
    <xf numFmtId="2" fontId="1" fillId="0" borderId="7" xfId="0" applyNumberFormat="1" applyFont="1" applyBorder="1" applyAlignment="1">
      <alignment horizontal="right" vertical="center"/>
    </xf>
    <xf numFmtId="2" fontId="1" fillId="0" borderId="0" xfId="0" applyNumberFormat="1" applyFont="1"/>
    <xf numFmtId="2" fontId="1" fillId="0" borderId="9" xfId="0" applyNumberFormat="1" applyFont="1" applyBorder="1"/>
    <xf numFmtId="165" fontId="1" fillId="0" borderId="6" xfId="0" applyNumberFormat="1" applyFont="1" applyBorder="1" applyAlignment="1">
      <alignment horizontal="right" vertical="center"/>
    </xf>
    <xf numFmtId="2" fontId="4" fillId="4" borderId="2" xfId="0" applyNumberFormat="1" applyFont="1" applyFill="1" applyBorder="1"/>
    <xf numFmtId="0" fontId="5" fillId="2" borderId="0" xfId="0" applyFont="1" applyFill="1" applyAlignment="1">
      <alignment horizontal="center" vertical="center"/>
    </xf>
    <xf numFmtId="0" fontId="4" fillId="0" borderId="0" xfId="0" applyFont="1"/>
    <xf numFmtId="2" fontId="4" fillId="3" borderId="2" xfId="0" applyNumberFormat="1" applyFont="1" applyFill="1" applyBorder="1"/>
    <xf numFmtId="2" fontId="1" fillId="0" borderId="9" xfId="0" applyNumberFormat="1" applyFont="1" applyBorder="1" applyAlignment="1">
      <alignment horizontal="right" vertical="center"/>
    </xf>
    <xf numFmtId="2" fontId="1" fillId="0" borderId="10" xfId="0" applyNumberFormat="1" applyFont="1" applyBorder="1" applyAlignment="1">
      <alignment horizontal="right" vertical="center"/>
    </xf>
    <xf numFmtId="15" fontId="1" fillId="0" borderId="0" xfId="0" applyNumberFormat="1" applyFont="1"/>
    <xf numFmtId="17" fontId="1" fillId="0" borderId="0" xfId="0" applyNumberFormat="1" applyFont="1"/>
    <xf numFmtId="0" fontId="5" fillId="0" borderId="0" xfId="0" applyFont="1" applyAlignment="1">
      <alignment horizontal="center" vertical="center"/>
    </xf>
    <xf numFmtId="2" fontId="7" fillId="0" borderId="0" xfId="0" applyNumberFormat="1" applyFont="1" applyAlignment="1">
      <alignment horizontal="right" vertical="center"/>
    </xf>
    <xf numFmtId="49" fontId="1" fillId="0" borderId="0" xfId="0" applyNumberFormat="1" applyFont="1"/>
    <xf numFmtId="1" fontId="1" fillId="0" borderId="0" xfId="0" applyNumberFormat="1" applyFont="1"/>
    <xf numFmtId="2" fontId="4" fillId="0" borderId="0" xfId="0" applyNumberFormat="1" applyFont="1"/>
    <xf numFmtId="0" fontId="4" fillId="0" borderId="3" xfId="0" applyFont="1" applyBorder="1"/>
    <xf numFmtId="0" fontId="4" fillId="0" borderId="6" xfId="0" applyFont="1" applyBorder="1"/>
    <xf numFmtId="0" fontId="4" fillId="0" borderId="4" xfId="0" applyFont="1" applyBorder="1"/>
    <xf numFmtId="1" fontId="4" fillId="3" borderId="2" xfId="0" applyNumberFormat="1" applyFont="1" applyFill="1" applyBorder="1"/>
    <xf numFmtId="166" fontId="4" fillId="4" borderId="2" xfId="0" applyNumberFormat="1" applyFont="1" applyFill="1" applyBorder="1"/>
    <xf numFmtId="0" fontId="4" fillId="0" borderId="1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/>
    </xf>
    <xf numFmtId="2" fontId="4" fillId="3" borderId="12" xfId="0" applyNumberFormat="1" applyFont="1" applyFill="1" applyBorder="1" applyAlignment="1">
      <alignment horizontal="center"/>
    </xf>
    <xf numFmtId="0" fontId="4" fillId="3" borderId="13" xfId="0" applyFont="1" applyFill="1" applyBorder="1" applyAlignment="1">
      <alignment horizontal="center"/>
    </xf>
    <xf numFmtId="0" fontId="4" fillId="3" borderId="14" xfId="0" applyFont="1" applyFill="1" applyBorder="1" applyAlignment="1">
      <alignment horizontal="center"/>
    </xf>
    <xf numFmtId="2" fontId="4" fillId="3" borderId="15" xfId="0" applyNumberFormat="1" applyFont="1" applyFill="1" applyBorder="1" applyAlignment="1">
      <alignment horizontal="center"/>
    </xf>
    <xf numFmtId="0" fontId="4" fillId="3" borderId="16" xfId="0" applyFont="1" applyFill="1" applyBorder="1" applyAlignment="1">
      <alignment horizontal="center"/>
    </xf>
    <xf numFmtId="0" fontId="5" fillId="2" borderId="0" xfId="0" applyFont="1" applyFill="1" applyAlignment="1">
      <alignment horizontal="center" vertical="center"/>
    </xf>
    <xf numFmtId="167" fontId="6" fillId="4" borderId="2" xfId="0" applyNumberFormat="1" applyFont="1" applyFill="1" applyBorder="1"/>
  </cellXfs>
  <cellStyles count="1">
    <cellStyle name="Normale" xfId="0" builtinId="0"/>
  </cellStyles>
  <dxfs count="0"/>
  <tableStyles count="0" defaultTableStyle="TableStyleMedium2" defaultPivotStyle="PivotStyleLight16"/>
  <colors>
    <mruColors>
      <color rgb="FFD883FF"/>
      <color rgb="FFFF8AD8"/>
      <color rgb="FF73FDD6"/>
      <color rgb="FFFF7E79"/>
      <color rgb="FF73FB79"/>
      <color rgb="FFFFFD78"/>
      <color rgb="FFFFD5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DF562-71EE-3542-9C03-1CCBE7FF9A08}">
  <sheetPr codeName="Sheet5">
    <tabColor rgb="FFFFD579"/>
  </sheetPr>
  <dimension ref="A1:L17"/>
  <sheetViews>
    <sheetView workbookViewId="0">
      <selection activeCell="C15" sqref="C15"/>
    </sheetView>
  </sheetViews>
  <sheetFormatPr defaultColWidth="8.85546875" defaultRowHeight="18.95"/>
  <cols>
    <col min="1" max="1" width="8.85546875" style="1"/>
    <col min="2" max="2" width="21" style="1" customWidth="1"/>
    <col min="3" max="3" width="10.140625" style="1" bestFit="1" customWidth="1"/>
    <col min="4" max="4" width="9.140625" style="1" customWidth="1"/>
    <col min="5" max="5" width="19.140625" style="1" customWidth="1"/>
    <col min="6" max="16384" width="8.85546875" style="1"/>
  </cols>
  <sheetData>
    <row r="1" spans="1:12">
      <c r="A1" s="44" t="s">
        <v>0</v>
      </c>
      <c r="B1" s="44"/>
      <c r="C1" s="44"/>
      <c r="D1" s="44"/>
      <c r="E1" s="44"/>
      <c r="F1" s="44"/>
      <c r="G1" s="44"/>
    </row>
    <row r="2" spans="1:12">
      <c r="A2" s="44"/>
      <c r="B2" s="44"/>
      <c r="C2" s="44"/>
      <c r="D2" s="44"/>
      <c r="E2" s="44"/>
      <c r="F2" s="44"/>
      <c r="G2" s="44"/>
    </row>
    <row r="3" spans="1:12" ht="20.100000000000001" thickBot="1"/>
    <row r="4" spans="1:12" ht="20.100000000000001" thickBot="1">
      <c r="B4" s="5" t="s">
        <v>1</v>
      </c>
      <c r="C4" s="6">
        <v>99.853999999999999</v>
      </c>
    </row>
    <row r="5" spans="1:12" ht="20.100000000000001" thickBot="1">
      <c r="B5" s="5" t="s">
        <v>2</v>
      </c>
      <c r="C5" s="20">
        <f>(5/6)*C7</f>
        <v>0.83333333333333337</v>
      </c>
    </row>
    <row r="6" spans="1:12" ht="20.100000000000001" thickBot="1">
      <c r="B6" s="5" t="s">
        <v>3</v>
      </c>
      <c r="C6" s="20">
        <v>100</v>
      </c>
    </row>
    <row r="7" spans="1:12" ht="20.100000000000001" thickBot="1">
      <c r="B7" s="5" t="s">
        <v>4</v>
      </c>
      <c r="C7" s="20">
        <v>1</v>
      </c>
    </row>
    <row r="8" spans="1:12" ht="20.100000000000001" thickBot="1"/>
    <row r="9" spans="1:12">
      <c r="B9" s="9" t="s">
        <v>5</v>
      </c>
      <c r="C9" s="10" t="s">
        <v>6</v>
      </c>
      <c r="D9" s="10" t="s">
        <v>7</v>
      </c>
      <c r="E9" s="11" t="s">
        <v>8</v>
      </c>
    </row>
    <row r="10" spans="1:12">
      <c r="B10" s="16">
        <v>45778</v>
      </c>
      <c r="C10" s="12">
        <v>0</v>
      </c>
      <c r="D10" s="12">
        <f>-C4-C5</f>
        <v>-100.68733333333333</v>
      </c>
      <c r="E10" s="13">
        <f>D10*((1+$C$15)^-C10)</f>
        <v>-100.68733333333333</v>
      </c>
    </row>
    <row r="11" spans="1:12">
      <c r="B11" s="7">
        <v>45809</v>
      </c>
      <c r="C11" s="12">
        <f>1/12</f>
        <v>8.3333333333333329E-2</v>
      </c>
      <c r="D11" s="14">
        <f>C7</f>
        <v>1</v>
      </c>
      <c r="E11" s="13">
        <f>D11*((1+$C$15)^-C11)</f>
        <v>0.99814503653845321</v>
      </c>
      <c r="J11" s="2"/>
      <c r="K11" s="3"/>
      <c r="L11" s="4"/>
    </row>
    <row r="12" spans="1:12" ht="20.100000000000001" thickBot="1">
      <c r="B12" s="8">
        <v>45992</v>
      </c>
      <c r="C12" s="15">
        <f>7/12</f>
        <v>0.58333333333333337</v>
      </c>
      <c r="D12" s="15">
        <f>C6+C7</f>
        <v>101</v>
      </c>
      <c r="E12" s="22">
        <f>D12*((1+$C$15)^-C12)</f>
        <v>99.695816438073379</v>
      </c>
    </row>
    <row r="14" spans="1:12" ht="20.100000000000001" thickBot="1"/>
    <row r="15" spans="1:12" ht="20.100000000000001" thickBot="1">
      <c r="B15" s="5" t="s">
        <v>9</v>
      </c>
      <c r="C15" s="45">
        <f>XIRR(D10:D12,B10:B12)</f>
        <v>2.2530290484428412E-2</v>
      </c>
    </row>
    <row r="16" spans="1:12" ht="20.100000000000001" thickBot="1"/>
    <row r="17" spans="2:3" ht="20.100000000000001" thickBot="1">
      <c r="B17" s="5" t="s">
        <v>10</v>
      </c>
      <c r="C17" s="34">
        <f>SUM(E10:E12)</f>
        <v>6.6281412785116345E-3</v>
      </c>
    </row>
  </sheetData>
  <mergeCells count="1">
    <mergeCell ref="A1:G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BB5DB-1125-7E4A-965A-540CF56FAAE6}">
  <sheetPr codeName="Sheet9">
    <tabColor rgb="FFFFD579"/>
  </sheetPr>
  <dimension ref="A1:O23"/>
  <sheetViews>
    <sheetView workbookViewId="0">
      <selection activeCell="C21" sqref="C21"/>
    </sheetView>
  </sheetViews>
  <sheetFormatPr defaultColWidth="8.85546875" defaultRowHeight="18.95"/>
  <cols>
    <col min="1" max="1" width="8.85546875" style="1"/>
    <col min="2" max="2" width="24" style="1" customWidth="1"/>
    <col min="3" max="3" width="12" style="1" customWidth="1"/>
    <col min="4" max="4" width="9.140625" style="1" customWidth="1"/>
    <col min="5" max="5" width="19.140625" style="1" customWidth="1"/>
    <col min="6" max="16384" width="8.85546875" style="1"/>
  </cols>
  <sheetData>
    <row r="1" spans="1:15" ht="18.95" customHeight="1">
      <c r="A1" s="44" t="s">
        <v>0</v>
      </c>
      <c r="B1" s="44"/>
      <c r="C1" s="44"/>
      <c r="D1" s="44"/>
      <c r="E1" s="44"/>
      <c r="F1" s="44"/>
      <c r="G1" s="44"/>
    </row>
    <row r="2" spans="1:15" ht="18.95" customHeight="1">
      <c r="A2" s="44"/>
      <c r="B2" s="44"/>
      <c r="C2" s="44"/>
      <c r="D2" s="44"/>
      <c r="E2" s="44"/>
      <c r="F2" s="44"/>
      <c r="G2" s="44"/>
    </row>
    <row r="3" spans="1:15" ht="21">
      <c r="A3" s="44" t="s">
        <v>11</v>
      </c>
      <c r="B3" s="44"/>
      <c r="C3" s="44"/>
      <c r="D3" s="44"/>
      <c r="E3" s="44"/>
      <c r="F3" s="44"/>
      <c r="G3" s="44"/>
    </row>
    <row r="4" spans="1:15" ht="21">
      <c r="A4" s="18"/>
      <c r="B4" s="18"/>
      <c r="C4" s="18"/>
      <c r="D4" s="18"/>
      <c r="E4" s="18"/>
      <c r="F4" s="18"/>
      <c r="G4" s="18"/>
    </row>
    <row r="5" spans="1:15" ht="20.100000000000001" thickBot="1"/>
    <row r="6" spans="1:15" ht="20.100000000000001" thickBot="1">
      <c r="B6" s="5" t="s">
        <v>1</v>
      </c>
      <c r="C6" s="6">
        <v>99.853999999999999</v>
      </c>
      <c r="N6" s="19"/>
      <c r="O6" s="19"/>
    </row>
    <row r="7" spans="1:15" ht="20.100000000000001" thickBot="1">
      <c r="B7" s="5" t="s">
        <v>12</v>
      </c>
      <c r="C7" s="20">
        <f>5/6*C12</f>
        <v>0.83333333333333337</v>
      </c>
      <c r="N7" s="19"/>
      <c r="O7" s="19"/>
    </row>
    <row r="8" spans="1:15" ht="20.100000000000001" thickBot="1">
      <c r="B8" s="5" t="s">
        <v>3</v>
      </c>
      <c r="C8" s="6">
        <v>100</v>
      </c>
      <c r="N8" s="19"/>
      <c r="O8" s="19"/>
    </row>
    <row r="9" spans="1:15" ht="20.100000000000001" thickBot="1">
      <c r="B9" s="5" t="s">
        <v>13</v>
      </c>
      <c r="C9" s="6">
        <v>100.51</v>
      </c>
      <c r="N9" s="19"/>
      <c r="O9" s="19"/>
    </row>
    <row r="10" spans="1:15" ht="20.100000000000001" thickBot="1">
      <c r="B10" s="5" t="s">
        <v>14</v>
      </c>
      <c r="C10" s="6">
        <f>MAX(0,C8-C6)</f>
        <v>0.1460000000000008</v>
      </c>
      <c r="N10" s="19"/>
      <c r="O10" s="19"/>
    </row>
    <row r="11" spans="1:15" ht="20.100000000000001" thickBot="1">
      <c r="B11" s="5" t="s">
        <v>15</v>
      </c>
      <c r="C11" s="6">
        <f>MAX(0,C8-C9)</f>
        <v>0</v>
      </c>
      <c r="N11" s="19"/>
      <c r="O11" s="19"/>
    </row>
    <row r="12" spans="1:15" ht="20.100000000000001" thickBot="1">
      <c r="B12" s="5" t="s">
        <v>4</v>
      </c>
      <c r="C12" s="20">
        <v>1</v>
      </c>
      <c r="N12" s="19"/>
      <c r="O12" s="19"/>
    </row>
    <row r="13" spans="1:15" ht="20.100000000000001" thickBot="1">
      <c r="B13" s="5" t="s">
        <v>16</v>
      </c>
      <c r="C13" s="6">
        <v>12.5</v>
      </c>
      <c r="N13" s="19"/>
      <c r="O13" s="19"/>
    </row>
    <row r="14" spans="1:15" ht="20.100000000000001" thickBot="1">
      <c r="N14" s="19"/>
      <c r="O14" s="19"/>
    </row>
    <row r="15" spans="1:15">
      <c r="B15" s="9" t="s">
        <v>5</v>
      </c>
      <c r="C15" s="10" t="s">
        <v>6</v>
      </c>
      <c r="D15" s="10" t="s">
        <v>7</v>
      </c>
      <c r="E15" s="11" t="s">
        <v>8</v>
      </c>
      <c r="N15" s="19"/>
      <c r="O15" s="19"/>
    </row>
    <row r="16" spans="1:15">
      <c r="B16" s="16">
        <v>45778</v>
      </c>
      <c r="C16" s="12">
        <v>0</v>
      </c>
      <c r="D16" s="12">
        <f>-C6-(C7*(100-C13)/100)</f>
        <v>-100.58316666666667</v>
      </c>
      <c r="E16" s="13">
        <f>D16*((1+$C$21)^-C16)</f>
        <v>-100.58316666666667</v>
      </c>
    </row>
    <row r="17" spans="2:12">
      <c r="B17" s="7">
        <v>45809</v>
      </c>
      <c r="C17" s="12">
        <f>1/12</f>
        <v>8.3333333333333329E-2</v>
      </c>
      <c r="D17" s="1">
        <f>C12*((100-C13)/100)</f>
        <v>0.875</v>
      </c>
      <c r="E17" s="13">
        <f t="shared" ref="E17:E18" si="0">D17*((1+$C$21)^-C17)</f>
        <v>0.87357850971628892</v>
      </c>
    </row>
    <row r="18" spans="2:12" ht="20.100000000000001" thickBot="1">
      <c r="B18" s="8">
        <v>45992</v>
      </c>
      <c r="C18" s="15">
        <f>7/12</f>
        <v>0.58333333333333337</v>
      </c>
      <c r="D18" s="15">
        <f>C8+C12*((100-C13)/100)-C10*(C13/100)-C11*(C13/100)</f>
        <v>100.85675000000001</v>
      </c>
      <c r="E18" s="22">
        <f t="shared" si="0"/>
        <v>99.715389564133972</v>
      </c>
    </row>
    <row r="19" spans="2:12">
      <c r="J19" s="2"/>
      <c r="K19" s="3"/>
      <c r="L19" s="4"/>
    </row>
    <row r="20" spans="2:12" ht="20.100000000000001" thickBot="1"/>
    <row r="21" spans="2:12" ht="20.100000000000001" thickBot="1">
      <c r="B21" s="5" t="s">
        <v>9</v>
      </c>
      <c r="C21" s="45">
        <f>XIRR(D16:D18,B16:B18)</f>
        <v>1.9702151417732242E-2</v>
      </c>
    </row>
    <row r="22" spans="2:12" ht="20.100000000000001" thickBot="1"/>
    <row r="23" spans="2:12" ht="20.100000000000001" thickBot="1">
      <c r="B23" s="5" t="s">
        <v>10</v>
      </c>
      <c r="C23" s="34">
        <f>SUM(E16:E18)</f>
        <v>5.8014071835827963E-3</v>
      </c>
    </row>
  </sheetData>
  <mergeCells count="2">
    <mergeCell ref="A1:G2"/>
    <mergeCell ref="A3:G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03554-4D28-7345-8CC7-65572CAD1F27}">
  <sheetPr codeName="Sheet6">
    <tabColor rgb="FFFFFD78"/>
  </sheetPr>
  <dimension ref="A1:L20"/>
  <sheetViews>
    <sheetView workbookViewId="0">
      <selection activeCell="C18" sqref="C18"/>
    </sheetView>
  </sheetViews>
  <sheetFormatPr defaultColWidth="8.85546875" defaultRowHeight="18.95"/>
  <cols>
    <col min="1" max="1" width="8.85546875" style="1"/>
    <col min="2" max="2" width="21" style="1" customWidth="1"/>
    <col min="3" max="3" width="10.140625" style="1" bestFit="1" customWidth="1"/>
    <col min="4" max="4" width="9.140625" style="1" customWidth="1"/>
    <col min="5" max="5" width="19.140625" style="1" customWidth="1"/>
    <col min="6" max="16384" width="8.85546875" style="1"/>
  </cols>
  <sheetData>
    <row r="1" spans="1:12">
      <c r="A1" s="44" t="s">
        <v>17</v>
      </c>
      <c r="B1" s="44"/>
      <c r="C1" s="44"/>
      <c r="D1" s="44"/>
      <c r="E1" s="44"/>
      <c r="F1" s="44"/>
      <c r="G1" s="44"/>
    </row>
    <row r="2" spans="1:12">
      <c r="A2" s="44"/>
      <c r="B2" s="44"/>
      <c r="C2" s="44"/>
      <c r="D2" s="44"/>
      <c r="E2" s="44"/>
      <c r="F2" s="44"/>
      <c r="G2" s="44"/>
    </row>
    <row r="3" spans="1:12" ht="20.100000000000001" thickBot="1"/>
    <row r="4" spans="1:12" ht="20.100000000000001" thickBot="1">
      <c r="B4" s="5" t="s">
        <v>1</v>
      </c>
      <c r="C4" s="6">
        <v>110.03</v>
      </c>
    </row>
    <row r="5" spans="1:12" ht="20.100000000000001" thickBot="1">
      <c r="B5" s="5" t="s">
        <v>3</v>
      </c>
      <c r="C5" s="20">
        <v>100</v>
      </c>
    </row>
    <row r="6" spans="1:12" ht="20.100000000000001" thickBot="1">
      <c r="B6" s="5" t="s">
        <v>4</v>
      </c>
      <c r="C6" s="20">
        <v>3.25</v>
      </c>
    </row>
    <row r="7" spans="1:12" ht="20.100000000000001" thickBot="1"/>
    <row r="8" spans="1:12">
      <c r="B8" s="9" t="s">
        <v>5</v>
      </c>
      <c r="C8" s="10" t="s">
        <v>6</v>
      </c>
      <c r="D8" s="10" t="s">
        <v>7</v>
      </c>
      <c r="E8" s="11" t="s">
        <v>8</v>
      </c>
    </row>
    <row r="9" spans="1:12">
      <c r="B9" s="16">
        <v>45778</v>
      </c>
      <c r="C9" s="12">
        <v>0</v>
      </c>
      <c r="D9" s="12">
        <f>-C4</f>
        <v>-110.03</v>
      </c>
      <c r="E9" s="13">
        <f>D9*((1+$C$18)^-C9)</f>
        <v>-110.03</v>
      </c>
    </row>
    <row r="10" spans="1:12">
      <c r="B10" s="7">
        <v>45962</v>
      </c>
      <c r="C10" s="12">
        <f>1/2</f>
        <v>0.5</v>
      </c>
      <c r="D10" s="14">
        <f>$C$6</f>
        <v>3.25</v>
      </c>
      <c r="E10" s="13">
        <f t="shared" ref="E10:E13" si="0">D10*((1+$C$18)^-C10)</f>
        <v>3.2123851940331258</v>
      </c>
      <c r="J10" s="2"/>
      <c r="K10" s="3"/>
      <c r="L10" s="4"/>
    </row>
    <row r="11" spans="1:12">
      <c r="B11" s="16">
        <v>46143</v>
      </c>
      <c r="C11" s="12">
        <f>1</f>
        <v>1</v>
      </c>
      <c r="D11" s="14">
        <f t="shared" ref="D11:D13" si="1">$C$6</f>
        <v>3.25</v>
      </c>
      <c r="E11" s="13">
        <f t="shared" si="0"/>
        <v>3.1752057337979207</v>
      </c>
    </row>
    <row r="12" spans="1:12">
      <c r="B12" s="7">
        <v>46327</v>
      </c>
      <c r="C12" s="14">
        <v>1.5</v>
      </c>
      <c r="D12" s="14">
        <f t="shared" si="1"/>
        <v>3.25</v>
      </c>
      <c r="E12" s="13">
        <f t="shared" si="0"/>
        <v>3.1384565806958542</v>
      </c>
    </row>
    <row r="13" spans="1:12">
      <c r="B13" s="16">
        <v>46508</v>
      </c>
      <c r="C13" s="12">
        <v>2</v>
      </c>
      <c r="D13" s="14">
        <f t="shared" si="1"/>
        <v>3.25</v>
      </c>
      <c r="E13" s="13">
        <f t="shared" si="0"/>
        <v>3.1021327544440593</v>
      </c>
    </row>
    <row r="14" spans="1:12" ht="20.100000000000001" thickBot="1">
      <c r="B14" s="8">
        <v>46692</v>
      </c>
      <c r="C14" s="21">
        <f>2.5</f>
        <v>2.5</v>
      </c>
      <c r="D14" s="15">
        <f>C5+C6</f>
        <v>103.25</v>
      </c>
      <c r="E14" s="22">
        <f>D14*((1+$C$18)^-C14)</f>
        <v>97.411747252412638</v>
      </c>
    </row>
    <row r="15" spans="1:12">
      <c r="B15" s="23"/>
      <c r="C15" s="14"/>
      <c r="D15" s="14"/>
      <c r="E15" s="12"/>
    </row>
    <row r="17" spans="2:3" ht="20.100000000000001" thickBot="1"/>
    <row r="18" spans="2:3" ht="20.100000000000001" thickBot="1">
      <c r="B18" s="5" t="s">
        <v>9</v>
      </c>
      <c r="C18" s="45">
        <f>XIRR(D9:D14,B9:B14)</f>
        <v>2.3555722832679749E-2</v>
      </c>
    </row>
    <row r="19" spans="2:3" ht="20.100000000000001" thickBot="1"/>
    <row r="20" spans="2:3" ht="20.100000000000001" thickBot="1">
      <c r="B20" s="5" t="s">
        <v>10</v>
      </c>
      <c r="C20" s="34">
        <f>SUM(E9:E14)</f>
        <v>9.9275153836089203E-3</v>
      </c>
    </row>
  </sheetData>
  <mergeCells count="1">
    <mergeCell ref="A1:G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9ABEB-F9F1-F34B-BE96-DC6767E49FC7}">
  <sheetPr codeName="Sheet14">
    <tabColor rgb="FFFFFD78"/>
  </sheetPr>
  <dimension ref="A1:O24"/>
  <sheetViews>
    <sheetView workbookViewId="0">
      <selection activeCell="C22" sqref="C22"/>
    </sheetView>
  </sheetViews>
  <sheetFormatPr defaultColWidth="8.85546875" defaultRowHeight="18.95"/>
  <cols>
    <col min="1" max="1" width="8.85546875" style="1"/>
    <col min="2" max="2" width="24" style="1" customWidth="1"/>
    <col min="3" max="3" width="12" style="1" customWidth="1"/>
    <col min="4" max="4" width="9.140625" style="1" customWidth="1"/>
    <col min="5" max="5" width="19.140625" style="1" customWidth="1"/>
    <col min="6" max="16384" width="8.85546875" style="1"/>
  </cols>
  <sheetData>
    <row r="1" spans="1:15" ht="18.95" customHeight="1">
      <c r="A1" s="44" t="s">
        <v>17</v>
      </c>
      <c r="B1" s="44"/>
      <c r="C1" s="44"/>
      <c r="D1" s="44"/>
      <c r="E1" s="44"/>
      <c r="F1" s="44"/>
      <c r="G1" s="44"/>
    </row>
    <row r="2" spans="1:15" ht="18.95" customHeight="1">
      <c r="A2" s="44"/>
      <c r="B2" s="44"/>
      <c r="C2" s="44"/>
      <c r="D2" s="44"/>
      <c r="E2" s="44"/>
      <c r="F2" s="44"/>
      <c r="G2" s="44"/>
    </row>
    <row r="3" spans="1:15" ht="21">
      <c r="A3" s="44" t="s">
        <v>11</v>
      </c>
      <c r="B3" s="44"/>
      <c r="C3" s="44"/>
      <c r="D3" s="44"/>
      <c r="E3" s="44"/>
      <c r="F3" s="44"/>
      <c r="G3" s="44"/>
    </row>
    <row r="4" spans="1:15" ht="21">
      <c r="A4" s="18"/>
      <c r="B4" s="18"/>
      <c r="C4" s="18"/>
      <c r="D4" s="18"/>
      <c r="E4" s="18"/>
      <c r="F4" s="18"/>
      <c r="G4" s="18"/>
    </row>
    <row r="5" spans="1:15" ht="20.100000000000001" thickBot="1"/>
    <row r="6" spans="1:15" ht="20.100000000000001" thickBot="1">
      <c r="B6" s="5" t="s">
        <v>1</v>
      </c>
      <c r="C6" s="6">
        <v>110.03</v>
      </c>
      <c r="N6" s="19"/>
      <c r="O6" s="19"/>
    </row>
    <row r="7" spans="1:15" ht="20.100000000000001" thickBot="1">
      <c r="B7" s="5" t="s">
        <v>3</v>
      </c>
      <c r="C7" s="6">
        <v>100</v>
      </c>
      <c r="N7" s="19"/>
      <c r="O7" s="19"/>
    </row>
    <row r="8" spans="1:15" ht="20.100000000000001" thickBot="1">
      <c r="B8" s="5" t="s">
        <v>13</v>
      </c>
      <c r="C8" s="6">
        <v>100.15</v>
      </c>
      <c r="N8" s="19"/>
      <c r="O8" s="19"/>
    </row>
    <row r="9" spans="1:15" ht="20.100000000000001" thickBot="1">
      <c r="B9" s="5" t="s">
        <v>14</v>
      </c>
      <c r="C9" s="6">
        <f>MAX(0,C7-C6)</f>
        <v>0</v>
      </c>
      <c r="N9" s="19"/>
      <c r="O9" s="19"/>
    </row>
    <row r="10" spans="1:15" ht="20.100000000000001" thickBot="1">
      <c r="B10" s="5" t="s">
        <v>15</v>
      </c>
      <c r="C10" s="6">
        <f>MAX(0,C7-C8)</f>
        <v>0</v>
      </c>
      <c r="N10" s="19"/>
      <c r="O10" s="19"/>
    </row>
    <row r="11" spans="1:15" ht="20.100000000000001" thickBot="1">
      <c r="B11" s="5" t="s">
        <v>4</v>
      </c>
      <c r="C11" s="6">
        <v>3.25</v>
      </c>
      <c r="N11" s="19"/>
      <c r="O11" s="19"/>
    </row>
    <row r="12" spans="1:15" ht="20.100000000000001" thickBot="1">
      <c r="B12" s="5" t="s">
        <v>16</v>
      </c>
      <c r="C12" s="6">
        <v>12.5</v>
      </c>
      <c r="N12" s="19"/>
      <c r="O12" s="19"/>
    </row>
    <row r="13" spans="1:15" ht="20.100000000000001" thickBot="1">
      <c r="N13" s="19"/>
      <c r="O13" s="19"/>
    </row>
    <row r="14" spans="1:15">
      <c r="B14" s="9" t="s">
        <v>5</v>
      </c>
      <c r="C14" s="10" t="s">
        <v>6</v>
      </c>
      <c r="D14" s="10" t="s">
        <v>7</v>
      </c>
      <c r="E14" s="11" t="s">
        <v>8</v>
      </c>
    </row>
    <row r="15" spans="1:15">
      <c r="B15" s="16">
        <v>45778</v>
      </c>
      <c r="C15" s="12">
        <v>0</v>
      </c>
      <c r="D15" s="12">
        <f>-C6</f>
        <v>-110.03</v>
      </c>
      <c r="E15" s="13">
        <f>D15*((1+$C$22)^-C15)</f>
        <v>-110.03</v>
      </c>
    </row>
    <row r="16" spans="1:15">
      <c r="B16" s="7">
        <v>45962</v>
      </c>
      <c r="C16" s="12">
        <f>1/2</f>
        <v>0.5</v>
      </c>
      <c r="D16" s="14">
        <f>$C$11*((100-$C$12)/100)</f>
        <v>2.84375</v>
      </c>
      <c r="E16" s="13">
        <f t="shared" ref="E16:E20" si="0">D16*((1+$C$22)^-C16)</f>
        <v>2.821498011360303</v>
      </c>
      <c r="J16" s="2"/>
      <c r="K16" s="3"/>
      <c r="L16" s="4"/>
    </row>
    <row r="17" spans="2:5">
      <c r="B17" s="16">
        <v>46143</v>
      </c>
      <c r="C17" s="12">
        <f>1</f>
        <v>1</v>
      </c>
      <c r="D17" s="14">
        <f t="shared" ref="D17:D19" si="1">$C$11*((100-$C$12)/100)</f>
        <v>2.84375</v>
      </c>
      <c r="E17" s="13">
        <f t="shared" si="0"/>
        <v>2.7994201417530173</v>
      </c>
    </row>
    <row r="18" spans="2:5">
      <c r="B18" s="7">
        <v>46327</v>
      </c>
      <c r="C18" s="14">
        <v>1.5</v>
      </c>
      <c r="D18" s="14">
        <f t="shared" si="1"/>
        <v>2.84375</v>
      </c>
      <c r="E18" s="13">
        <f t="shared" si="0"/>
        <v>2.777515028718458</v>
      </c>
    </row>
    <row r="19" spans="2:5">
      <c r="B19" s="16">
        <v>46508</v>
      </c>
      <c r="C19" s="12">
        <v>2</v>
      </c>
      <c r="D19" s="14">
        <f t="shared" si="1"/>
        <v>2.84375</v>
      </c>
      <c r="E19" s="13">
        <f t="shared" si="0"/>
        <v>2.7557813204580164</v>
      </c>
    </row>
    <row r="20" spans="2:5" ht="20.100000000000001" thickBot="1">
      <c r="B20" s="8">
        <v>46692</v>
      </c>
      <c r="C20" s="21">
        <f>2.5</f>
        <v>2.5</v>
      </c>
      <c r="D20" s="15">
        <f>C7+$C$11*((100-$C$12)/100) - (C9*(C12/100))-(C10*(C12/100))</f>
        <v>102.84375</v>
      </c>
      <c r="E20" s="22">
        <f t="shared" si="0"/>
        <v>98.882531548304158</v>
      </c>
    </row>
    <row r="21" spans="2:5" ht="21" customHeight="1" thickBot="1"/>
    <row r="22" spans="2:5" ht="20.100000000000001" thickBot="1">
      <c r="B22" s="5" t="s">
        <v>9</v>
      </c>
      <c r="C22" s="45">
        <f>XIRR(D15:D20,B15:B20)</f>
        <v>1.58353716135025E-2</v>
      </c>
    </row>
    <row r="23" spans="2:5" ht="20.100000000000001" thickBot="1"/>
    <row r="24" spans="2:5" ht="20.100000000000001" thickBot="1">
      <c r="B24" s="5" t="s">
        <v>10</v>
      </c>
      <c r="C24" s="34">
        <f>SUM(E15:E20)</f>
        <v>6.7460505939465065E-3</v>
      </c>
    </row>
  </sheetData>
  <mergeCells count="2">
    <mergeCell ref="A1:G2"/>
    <mergeCell ref="A3:G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01645-297A-D249-9415-404637550DF1}">
  <sheetPr codeName="Sheet7">
    <tabColor theme="8" tint="0.39997558519241921"/>
  </sheetPr>
  <dimension ref="A1:H27"/>
  <sheetViews>
    <sheetView topLeftCell="A5" workbookViewId="0">
      <selection activeCell="C25" sqref="C25"/>
    </sheetView>
  </sheetViews>
  <sheetFormatPr defaultColWidth="8.85546875" defaultRowHeight="18.95"/>
  <cols>
    <col min="1" max="1" width="8.85546875" style="1"/>
    <col min="2" max="2" width="21" style="1" customWidth="1"/>
    <col min="3" max="3" width="10.140625" style="1" bestFit="1" customWidth="1"/>
    <col min="4" max="4" width="9.140625" style="1" customWidth="1"/>
    <col min="5" max="5" width="19.140625" style="1" customWidth="1"/>
    <col min="6" max="16384" width="8.85546875" style="1"/>
  </cols>
  <sheetData>
    <row r="1" spans="1:8">
      <c r="A1" s="44" t="s">
        <v>18</v>
      </c>
      <c r="B1" s="44"/>
      <c r="C1" s="44"/>
      <c r="D1" s="44"/>
      <c r="E1" s="44"/>
      <c r="F1" s="44"/>
      <c r="G1" s="44"/>
    </row>
    <row r="2" spans="1:8">
      <c r="A2" s="44"/>
      <c r="B2" s="44"/>
      <c r="C2" s="44"/>
      <c r="D2" s="44"/>
      <c r="E2" s="44"/>
      <c r="F2" s="44"/>
      <c r="G2" s="44"/>
    </row>
    <row r="3" spans="1:8" ht="20.100000000000001" thickBot="1"/>
    <row r="4" spans="1:8" ht="20.100000000000001" thickBot="1">
      <c r="B4" s="5" t="s">
        <v>1</v>
      </c>
      <c r="C4" s="6">
        <v>103.76</v>
      </c>
    </row>
    <row r="5" spans="1:8" ht="20.100000000000001" thickBot="1">
      <c r="B5" s="5" t="s">
        <v>2</v>
      </c>
      <c r="C5" s="20">
        <f>(5.5/6)*C7</f>
        <v>1.8333333333333333</v>
      </c>
    </row>
    <row r="6" spans="1:8" ht="20.100000000000001" thickBot="1">
      <c r="B6" s="5" t="s">
        <v>3</v>
      </c>
      <c r="C6" s="33">
        <v>100</v>
      </c>
    </row>
    <row r="7" spans="1:8" ht="20.100000000000001" thickBot="1">
      <c r="B7" s="5" t="s">
        <v>4</v>
      </c>
      <c r="C7" s="20">
        <v>2</v>
      </c>
    </row>
    <row r="8" spans="1:8" ht="20.100000000000001" thickBot="1"/>
    <row r="9" spans="1:8">
      <c r="B9" s="9" t="s">
        <v>5</v>
      </c>
      <c r="C9" s="10" t="s">
        <v>6</v>
      </c>
      <c r="D9" s="10" t="s">
        <v>7</v>
      </c>
      <c r="E9" s="11" t="s">
        <v>8</v>
      </c>
    </row>
    <row r="10" spans="1:8">
      <c r="B10" s="16">
        <v>45778</v>
      </c>
      <c r="C10" s="12">
        <v>0</v>
      </c>
      <c r="D10" s="12">
        <f>-C4-C5</f>
        <v>-105.59333333333333</v>
      </c>
      <c r="E10" s="13">
        <f>D10*((1+$C$25)^-C10)</f>
        <v>-105.59333333333333</v>
      </c>
    </row>
    <row r="11" spans="1:8">
      <c r="B11" s="16">
        <v>45792</v>
      </c>
      <c r="C11" s="12">
        <f>1/24</f>
        <v>4.1666666666666664E-2</v>
      </c>
      <c r="D11" s="12">
        <f>$C$7</f>
        <v>2</v>
      </c>
      <c r="E11" s="13">
        <f t="shared" ref="E11:E22" si="0">D11*((1+$C$25)^-C11)</f>
        <v>1.9973144849379127</v>
      </c>
      <c r="H11" s="24"/>
    </row>
    <row r="12" spans="1:8">
      <c r="B12" s="16">
        <v>45976</v>
      </c>
      <c r="C12" s="12">
        <f>C11+12/24</f>
        <v>0.54166666666666663</v>
      </c>
      <c r="D12" s="12">
        <f t="shared" ref="D12:D21" si="1">$C$7</f>
        <v>2</v>
      </c>
      <c r="E12" s="13">
        <f t="shared" si="0"/>
        <v>1.9653681916794687</v>
      </c>
    </row>
    <row r="13" spans="1:8">
      <c r="B13" s="16">
        <v>46157</v>
      </c>
      <c r="C13" s="12">
        <f t="shared" ref="C13:C22" si="2">C12+12/24</f>
        <v>1.0416666666666665</v>
      </c>
      <c r="D13" s="12">
        <f t="shared" si="1"/>
        <v>2</v>
      </c>
      <c r="E13" s="13">
        <f t="shared" si="0"/>
        <v>1.9339328673548861</v>
      </c>
    </row>
    <row r="14" spans="1:8">
      <c r="B14" s="16">
        <v>46341</v>
      </c>
      <c r="C14" s="12">
        <f t="shared" si="2"/>
        <v>1.5416666666666665</v>
      </c>
      <c r="D14" s="12">
        <f t="shared" si="1"/>
        <v>2</v>
      </c>
      <c r="E14" s="13">
        <f t="shared" si="0"/>
        <v>1.903000339208432</v>
      </c>
    </row>
    <row r="15" spans="1:8">
      <c r="B15" s="16">
        <v>46522</v>
      </c>
      <c r="C15" s="12">
        <f t="shared" si="2"/>
        <v>2.0416666666666665</v>
      </c>
      <c r="D15" s="12">
        <f t="shared" si="1"/>
        <v>2</v>
      </c>
      <c r="E15" s="13">
        <f t="shared" si="0"/>
        <v>1.8725625652045241</v>
      </c>
    </row>
    <row r="16" spans="1:8">
      <c r="B16" s="16">
        <v>46706</v>
      </c>
      <c r="C16" s="12">
        <f t="shared" si="2"/>
        <v>2.5416666666666665</v>
      </c>
      <c r="D16" s="12">
        <f t="shared" si="1"/>
        <v>2</v>
      </c>
      <c r="E16" s="13">
        <f t="shared" si="0"/>
        <v>1.8426116319369135</v>
      </c>
    </row>
    <row r="17" spans="2:5">
      <c r="B17" s="16">
        <v>46888</v>
      </c>
      <c r="C17" s="12">
        <f t="shared" si="2"/>
        <v>3.0416666666666665</v>
      </c>
      <c r="D17" s="12">
        <f t="shared" si="1"/>
        <v>2</v>
      </c>
      <c r="E17" s="13">
        <f t="shared" si="0"/>
        <v>1.8131397525713029</v>
      </c>
    </row>
    <row r="18" spans="2:5">
      <c r="B18" s="16">
        <v>47072</v>
      </c>
      <c r="C18" s="12">
        <f t="shared" si="2"/>
        <v>3.5416666666666665</v>
      </c>
      <c r="D18" s="12">
        <f t="shared" si="1"/>
        <v>2</v>
      </c>
      <c r="E18" s="13">
        <f t="shared" si="0"/>
        <v>1.7841392648208796</v>
      </c>
    </row>
    <row r="19" spans="2:5">
      <c r="B19" s="16">
        <v>47253</v>
      </c>
      <c r="C19" s="12">
        <f t="shared" si="2"/>
        <v>4.0416666666666661</v>
      </c>
      <c r="D19" s="12">
        <f t="shared" si="1"/>
        <v>2</v>
      </c>
      <c r="E19" s="13">
        <f t="shared" si="0"/>
        <v>1.7556026289542226</v>
      </c>
    </row>
    <row r="20" spans="2:5">
      <c r="B20" s="16">
        <v>47437</v>
      </c>
      <c r="C20" s="12">
        <f t="shared" si="2"/>
        <v>4.5416666666666661</v>
      </c>
      <c r="D20" s="12">
        <f t="shared" si="1"/>
        <v>2</v>
      </c>
      <c r="E20" s="13">
        <f t="shared" si="0"/>
        <v>1.7275224258350776</v>
      </c>
    </row>
    <row r="21" spans="2:5">
      <c r="B21" s="16">
        <v>47618</v>
      </c>
      <c r="C21" s="12">
        <f t="shared" si="2"/>
        <v>5.0416666666666661</v>
      </c>
      <c r="D21" s="12">
        <f t="shared" si="1"/>
        <v>2</v>
      </c>
      <c r="E21" s="13">
        <f t="shared" si="0"/>
        <v>1.6998913549934811</v>
      </c>
    </row>
    <row r="22" spans="2:5" ht="20.100000000000001" thickBot="1">
      <c r="B22" s="8">
        <v>47802</v>
      </c>
      <c r="C22" s="15">
        <f t="shared" si="2"/>
        <v>5.5416666666666661</v>
      </c>
      <c r="D22" s="15">
        <f>C6+C7</f>
        <v>102</v>
      </c>
      <c r="E22" s="22">
        <f t="shared" si="0"/>
        <v>85.307813869114682</v>
      </c>
    </row>
    <row r="24" spans="2:5" ht="20.100000000000001" thickBot="1"/>
    <row r="25" spans="2:5" ht="20.100000000000001" thickBot="1">
      <c r="B25" s="5" t="s">
        <v>9</v>
      </c>
      <c r="C25" s="45">
        <f>XIRR(D10:D22,B10:B22)</f>
        <v>3.2773432135581981E-2</v>
      </c>
    </row>
    <row r="26" spans="2:5" ht="20.100000000000001" thickBot="1"/>
    <row r="27" spans="2:5" ht="20.100000000000001" thickBot="1">
      <c r="B27" s="5" t="s">
        <v>10</v>
      </c>
      <c r="C27" s="34">
        <f>SUM(E10:E22)</f>
        <v>9.5660432784541172E-3</v>
      </c>
    </row>
  </sheetData>
  <mergeCells count="1">
    <mergeCell ref="A1:G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5057C-72C9-5D4D-A200-53B8888EBED0}">
  <sheetPr codeName="Sheet8">
    <tabColor theme="8" tint="0.39997558519241921"/>
  </sheetPr>
  <dimension ref="A1:H32"/>
  <sheetViews>
    <sheetView topLeftCell="A17" workbookViewId="0">
      <selection activeCell="C30" sqref="C30"/>
    </sheetView>
  </sheetViews>
  <sheetFormatPr defaultColWidth="8.85546875" defaultRowHeight="18.95"/>
  <cols>
    <col min="1" max="1" width="8.85546875" style="1"/>
    <col min="2" max="2" width="21" style="1" customWidth="1"/>
    <col min="3" max="3" width="10.140625" style="1" bestFit="1" customWidth="1"/>
    <col min="4" max="4" width="9.140625" style="1" customWidth="1"/>
    <col min="5" max="5" width="19.140625" style="1" customWidth="1"/>
    <col min="6" max="16384" width="8.85546875" style="1"/>
  </cols>
  <sheetData>
    <row r="1" spans="1:8">
      <c r="A1" s="44" t="s">
        <v>18</v>
      </c>
      <c r="B1" s="44"/>
      <c r="C1" s="44"/>
      <c r="D1" s="44"/>
      <c r="E1" s="44"/>
      <c r="F1" s="44"/>
      <c r="G1" s="44"/>
    </row>
    <row r="2" spans="1:8">
      <c r="A2" s="44"/>
      <c r="B2" s="44"/>
      <c r="C2" s="44"/>
      <c r="D2" s="44"/>
      <c r="E2" s="44"/>
      <c r="F2" s="44"/>
      <c r="G2" s="44"/>
    </row>
    <row r="3" spans="1:8" ht="21">
      <c r="A3" s="44" t="s">
        <v>11</v>
      </c>
      <c r="B3" s="44"/>
      <c r="C3" s="44"/>
      <c r="D3" s="44"/>
      <c r="E3" s="44"/>
      <c r="F3" s="44"/>
      <c r="G3" s="44"/>
    </row>
    <row r="4" spans="1:8" ht="21.95" thickBot="1">
      <c r="A4" s="25"/>
      <c r="B4" s="25"/>
      <c r="C4" s="25"/>
      <c r="D4" s="25"/>
      <c r="E4" s="25"/>
      <c r="F4" s="25"/>
      <c r="G4" s="25"/>
    </row>
    <row r="5" spans="1:8" ht="20.100000000000001" thickBot="1">
      <c r="B5" s="5" t="s">
        <v>1</v>
      </c>
      <c r="C5" s="6">
        <v>103.76</v>
      </c>
    </row>
    <row r="6" spans="1:8" ht="20.100000000000001" thickBot="1">
      <c r="B6" s="5" t="s">
        <v>2</v>
      </c>
      <c r="C6" s="20">
        <f>(5.5/6)*C11</f>
        <v>1.8333333333333333</v>
      </c>
    </row>
    <row r="7" spans="1:8" ht="20.100000000000001" thickBot="1">
      <c r="B7" s="5" t="s">
        <v>3</v>
      </c>
      <c r="C7" s="20">
        <v>100</v>
      </c>
    </row>
    <row r="8" spans="1:8" ht="20.100000000000001" thickBot="1">
      <c r="B8" s="5" t="s">
        <v>13</v>
      </c>
      <c r="C8" s="6">
        <v>99</v>
      </c>
    </row>
    <row r="9" spans="1:8" ht="20.100000000000001" thickBot="1">
      <c r="B9" s="5" t="s">
        <v>14</v>
      </c>
      <c r="C9" s="20">
        <f>MAX(0,C7-C5)</f>
        <v>0</v>
      </c>
    </row>
    <row r="10" spans="1:8" ht="20.100000000000001" thickBot="1">
      <c r="B10" s="5" t="s">
        <v>15</v>
      </c>
      <c r="C10" s="20">
        <f>MAX(0,C7-C8)</f>
        <v>1</v>
      </c>
    </row>
    <row r="11" spans="1:8" ht="20.100000000000001" thickBot="1">
      <c r="B11" s="5" t="s">
        <v>4</v>
      </c>
      <c r="C11" s="20">
        <v>2</v>
      </c>
    </row>
    <row r="12" spans="1:8" ht="20.100000000000001" thickBot="1">
      <c r="B12" s="5" t="s">
        <v>16</v>
      </c>
      <c r="C12" s="6">
        <v>12.5</v>
      </c>
    </row>
    <row r="13" spans="1:8" ht="20.100000000000001" thickBot="1"/>
    <row r="14" spans="1:8">
      <c r="B14" s="9" t="s">
        <v>5</v>
      </c>
      <c r="C14" s="10" t="s">
        <v>6</v>
      </c>
      <c r="D14" s="10" t="s">
        <v>7</v>
      </c>
      <c r="E14" s="11" t="s">
        <v>8</v>
      </c>
    </row>
    <row r="15" spans="1:8">
      <c r="B15" s="16">
        <v>45778</v>
      </c>
      <c r="C15" s="12">
        <v>0</v>
      </c>
      <c r="D15" s="12">
        <f>-C5-(C6*(100-C12)/100)</f>
        <v>-105.36416666666668</v>
      </c>
      <c r="E15" s="13">
        <f>D15*((1+$C$30)^-C15)</f>
        <v>-105.36416666666668</v>
      </c>
    </row>
    <row r="16" spans="1:8">
      <c r="B16" s="16">
        <v>45792</v>
      </c>
      <c r="C16" s="12">
        <f>1/24</f>
        <v>4.1666666666666664E-2</v>
      </c>
      <c r="D16" s="12">
        <f>$C$11*((100-$C$12)/100)</f>
        <v>1.75</v>
      </c>
      <c r="E16" s="13">
        <f t="shared" ref="E16:E27" si="0">D16*((1+$C$30)^-C16)</f>
        <v>1.7480159135500437</v>
      </c>
      <c r="H16" s="24"/>
    </row>
    <row r="17" spans="2:5">
      <c r="B17" s="16">
        <v>45976</v>
      </c>
      <c r="C17" s="12">
        <f>C16+12/24</f>
        <v>0.54166666666666663</v>
      </c>
      <c r="D17" s="12">
        <f t="shared" ref="D17:D26" si="1">$C$11*((100-$C$12)/100)</f>
        <v>1.75</v>
      </c>
      <c r="E17" s="13">
        <f t="shared" si="0"/>
        <v>1.7243816086467751</v>
      </c>
    </row>
    <row r="18" spans="2:5">
      <c r="B18" s="16">
        <v>46157</v>
      </c>
      <c r="C18" s="12">
        <f t="shared" ref="C18:C27" si="2">C17+12/24</f>
        <v>1.0416666666666665</v>
      </c>
      <c r="D18" s="12">
        <f t="shared" si="1"/>
        <v>1.75</v>
      </c>
      <c r="E18" s="13">
        <f t="shared" si="0"/>
        <v>1.7010668548207766</v>
      </c>
    </row>
    <row r="19" spans="2:5">
      <c r="B19" s="16">
        <v>46341</v>
      </c>
      <c r="C19" s="12">
        <f t="shared" si="2"/>
        <v>1.5416666666666665</v>
      </c>
      <c r="D19" s="12">
        <f t="shared" si="1"/>
        <v>1.75</v>
      </c>
      <c r="E19" s="13">
        <f t="shared" si="0"/>
        <v>1.6780673315349566</v>
      </c>
    </row>
    <row r="20" spans="2:5">
      <c r="B20" s="16">
        <v>46522</v>
      </c>
      <c r="C20" s="12">
        <f t="shared" si="2"/>
        <v>2.0416666666666665</v>
      </c>
      <c r="D20" s="12">
        <f t="shared" si="1"/>
        <v>1.75</v>
      </c>
      <c r="E20" s="13">
        <f t="shared" si="0"/>
        <v>1.6553787766686763</v>
      </c>
    </row>
    <row r="21" spans="2:5">
      <c r="B21" s="16">
        <v>46706</v>
      </c>
      <c r="C21" s="12">
        <f t="shared" si="2"/>
        <v>2.5416666666666665</v>
      </c>
      <c r="D21" s="12">
        <f t="shared" si="1"/>
        <v>1.75</v>
      </c>
      <c r="E21" s="13">
        <f t="shared" si="0"/>
        <v>1.6329969857279227</v>
      </c>
    </row>
    <row r="22" spans="2:5">
      <c r="B22" s="16">
        <v>46888</v>
      </c>
      <c r="C22" s="12">
        <f t="shared" si="2"/>
        <v>3.0416666666666665</v>
      </c>
      <c r="D22" s="12">
        <f t="shared" si="1"/>
        <v>1.75</v>
      </c>
      <c r="E22" s="13">
        <f t="shared" si="0"/>
        <v>1.6109178110661595</v>
      </c>
    </row>
    <row r="23" spans="2:5">
      <c r="B23" s="16">
        <v>47072</v>
      </c>
      <c r="C23" s="12">
        <f t="shared" si="2"/>
        <v>3.5416666666666665</v>
      </c>
      <c r="D23" s="12">
        <f t="shared" si="1"/>
        <v>1.75</v>
      </c>
      <c r="E23" s="13">
        <f t="shared" si="0"/>
        <v>1.5891371611157128</v>
      </c>
    </row>
    <row r="24" spans="2:5">
      <c r="B24" s="16">
        <v>47253</v>
      </c>
      <c r="C24" s="12">
        <f t="shared" si="2"/>
        <v>4.0416666666666661</v>
      </c>
      <c r="D24" s="12">
        <f t="shared" si="1"/>
        <v>1.75</v>
      </c>
      <c r="E24" s="13">
        <f t="shared" si="0"/>
        <v>1.5676509996295473</v>
      </c>
    </row>
    <row r="25" spans="2:5">
      <c r="B25" s="16">
        <v>47437</v>
      </c>
      <c r="C25" s="12">
        <f t="shared" si="2"/>
        <v>4.5416666666666661</v>
      </c>
      <c r="D25" s="12">
        <f t="shared" si="1"/>
        <v>1.75</v>
      </c>
      <c r="E25" s="13">
        <f t="shared" si="0"/>
        <v>1.5464553449332963</v>
      </c>
    </row>
    <row r="26" spans="2:5">
      <c r="B26" s="16">
        <v>47618</v>
      </c>
      <c r="C26" s="12">
        <f t="shared" si="2"/>
        <v>5.0416666666666661</v>
      </c>
      <c r="D26" s="12">
        <f t="shared" si="1"/>
        <v>1.75</v>
      </c>
      <c r="E26" s="13">
        <f t="shared" si="0"/>
        <v>1.5255462691874038</v>
      </c>
    </row>
    <row r="27" spans="2:5" ht="20.100000000000001" thickBot="1">
      <c r="B27" s="8">
        <v>47802</v>
      </c>
      <c r="C27" s="15">
        <f t="shared" si="2"/>
        <v>5.5416666666666661</v>
      </c>
      <c r="D27" s="15">
        <f>C7+C11*((100-C12)/100)-(C9*C12/100)-(C10*C12/100)</f>
        <v>101.625</v>
      </c>
      <c r="E27" s="22">
        <f t="shared" si="0"/>
        <v>87.392848342640377</v>
      </c>
    </row>
    <row r="29" spans="2:5" ht="20.100000000000001" thickBot="1"/>
    <row r="30" spans="2:5" ht="20.100000000000001" thickBot="1">
      <c r="B30" s="5" t="s">
        <v>9</v>
      </c>
      <c r="C30" s="45">
        <f>XIRR(D15:D27,B15:B27)</f>
        <v>2.7599772810935976E-2</v>
      </c>
    </row>
    <row r="31" spans="2:5" ht="20.100000000000001" thickBot="1"/>
    <row r="32" spans="2:5" ht="20.100000000000001" thickBot="1">
      <c r="B32" s="5" t="s">
        <v>10</v>
      </c>
      <c r="C32" s="34">
        <f>SUM(E15:E27)</f>
        <v>8.296732854986999E-3</v>
      </c>
    </row>
  </sheetData>
  <mergeCells count="2">
    <mergeCell ref="A1:G2"/>
    <mergeCell ref="A3:G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8CDD9-DFBD-8F42-90BB-DF5E4414CE5C}">
  <sheetPr codeName="Sheet10">
    <tabColor rgb="FFD883FF"/>
  </sheetPr>
  <dimension ref="A1:O41"/>
  <sheetViews>
    <sheetView topLeftCell="A18" workbookViewId="0">
      <selection activeCell="C39" sqref="C39"/>
    </sheetView>
  </sheetViews>
  <sheetFormatPr defaultColWidth="8.85546875" defaultRowHeight="18.95"/>
  <cols>
    <col min="1" max="1" width="8.85546875" style="1"/>
    <col min="2" max="2" width="24" style="1" customWidth="1"/>
    <col min="3" max="3" width="12" style="1" customWidth="1"/>
    <col min="4" max="4" width="9.140625" style="1" customWidth="1"/>
    <col min="5" max="5" width="19.140625" style="1" customWidth="1"/>
    <col min="6" max="16384" width="8.85546875" style="1"/>
  </cols>
  <sheetData>
    <row r="1" spans="1:15" ht="18.95" customHeight="1">
      <c r="A1" s="44" t="s">
        <v>19</v>
      </c>
      <c r="B1" s="44"/>
      <c r="C1" s="44"/>
      <c r="D1" s="44"/>
      <c r="E1" s="44"/>
      <c r="F1" s="44"/>
      <c r="G1" s="44"/>
    </row>
    <row r="2" spans="1:15" ht="18.95" customHeight="1">
      <c r="A2" s="44"/>
      <c r="B2" s="44"/>
      <c r="C2" s="44"/>
      <c r="D2" s="44"/>
      <c r="E2" s="44"/>
      <c r="F2" s="44"/>
      <c r="G2" s="44"/>
    </row>
    <row r="3" spans="1:15" ht="21">
      <c r="A3" s="44" t="s">
        <v>11</v>
      </c>
      <c r="B3" s="44"/>
      <c r="C3" s="44"/>
      <c r="D3" s="44"/>
      <c r="E3" s="44"/>
      <c r="F3" s="44"/>
      <c r="G3" s="44"/>
    </row>
    <row r="4" spans="1:15" ht="21">
      <c r="A4" s="18"/>
      <c r="B4" s="18"/>
      <c r="C4" s="18"/>
      <c r="D4" s="18"/>
      <c r="E4" s="18"/>
      <c r="F4" s="18"/>
      <c r="G4" s="18"/>
    </row>
    <row r="5" spans="1:15" ht="20.100000000000001" thickBot="1"/>
    <row r="6" spans="1:15" ht="20.100000000000001" thickBot="1">
      <c r="B6" s="5" t="s">
        <v>20</v>
      </c>
      <c r="C6" s="6">
        <v>99.853999999999999</v>
      </c>
      <c r="N6" s="19"/>
      <c r="O6" s="19"/>
    </row>
    <row r="7" spans="1:15" ht="20.100000000000001" thickBot="1">
      <c r="B7" s="5" t="s">
        <v>21</v>
      </c>
      <c r="C7" s="6">
        <v>103.76</v>
      </c>
      <c r="N7" s="19"/>
      <c r="O7" s="19"/>
    </row>
    <row r="8" spans="1:15" ht="20.100000000000001" thickBot="1">
      <c r="B8" s="5" t="s">
        <v>22</v>
      </c>
      <c r="C8" s="20">
        <v>0.83</v>
      </c>
      <c r="N8" s="19"/>
      <c r="O8" s="19"/>
    </row>
    <row r="9" spans="1:15" ht="20.100000000000001" thickBot="1">
      <c r="B9" s="5" t="s">
        <v>23</v>
      </c>
      <c r="C9" s="20">
        <v>1.83</v>
      </c>
      <c r="N9" s="19"/>
      <c r="O9" s="19"/>
    </row>
    <row r="10" spans="1:15" ht="20.100000000000001" thickBot="1">
      <c r="B10" s="5" t="s">
        <v>3</v>
      </c>
      <c r="C10" s="6">
        <v>100</v>
      </c>
      <c r="N10" s="19"/>
      <c r="O10" s="19"/>
    </row>
    <row r="11" spans="1:15" ht="20.100000000000001" thickBot="1">
      <c r="B11" s="5" t="s">
        <v>24</v>
      </c>
      <c r="C11" s="6">
        <v>100.51</v>
      </c>
      <c r="N11" s="19"/>
      <c r="O11" s="19"/>
    </row>
    <row r="12" spans="1:15" ht="20.100000000000001" thickBot="1">
      <c r="B12" s="5" t="s">
        <v>25</v>
      </c>
      <c r="C12" s="6">
        <v>99</v>
      </c>
      <c r="N12" s="19"/>
      <c r="O12" s="19"/>
    </row>
    <row r="13" spans="1:15" ht="20.100000000000001" thickBot="1">
      <c r="B13" s="5" t="s">
        <v>26</v>
      </c>
      <c r="C13" s="6">
        <f>MAX(0,C10-C6)</f>
        <v>0.1460000000000008</v>
      </c>
      <c r="N13" s="19"/>
      <c r="O13" s="19"/>
    </row>
    <row r="14" spans="1:15" ht="20.100000000000001" thickBot="1">
      <c r="B14" s="5" t="s">
        <v>27</v>
      </c>
      <c r="C14" s="6">
        <f>MAX(0,C10-C7)</f>
        <v>0</v>
      </c>
      <c r="N14" s="19"/>
      <c r="O14" s="19"/>
    </row>
    <row r="15" spans="1:15" ht="20.100000000000001" thickBot="1">
      <c r="B15" s="5" t="s">
        <v>28</v>
      </c>
      <c r="C15" s="6">
        <f>MAX(0,C10-C11)</f>
        <v>0</v>
      </c>
      <c r="N15" s="19"/>
      <c r="O15" s="19"/>
    </row>
    <row r="16" spans="1:15" ht="20.100000000000001" thickBot="1">
      <c r="B16" s="5" t="s">
        <v>29</v>
      </c>
      <c r="C16" s="6">
        <f>MAX(0,C10-C12)</f>
        <v>1</v>
      </c>
      <c r="N16" s="19"/>
      <c r="O16" s="19"/>
    </row>
    <row r="17" spans="2:15" ht="20.100000000000001" thickBot="1">
      <c r="B17" s="5" t="s">
        <v>30</v>
      </c>
      <c r="C17" s="6">
        <v>1</v>
      </c>
      <c r="N17" s="19"/>
      <c r="O17" s="19"/>
    </row>
    <row r="18" spans="2:15" ht="20.100000000000001" thickBot="1">
      <c r="B18" s="5" t="s">
        <v>31</v>
      </c>
      <c r="C18" s="6">
        <v>2</v>
      </c>
      <c r="N18" s="19"/>
      <c r="O18" s="19"/>
    </row>
    <row r="19" spans="2:15" ht="20.100000000000001" thickBot="1">
      <c r="B19" s="5" t="s">
        <v>16</v>
      </c>
      <c r="C19" s="6">
        <v>12.5</v>
      </c>
      <c r="N19" s="19"/>
      <c r="O19" s="19"/>
    </row>
    <row r="20" spans="2:15" ht="20.100000000000001" thickBot="1">
      <c r="N20" s="19"/>
      <c r="O20" s="19"/>
    </row>
    <row r="21" spans="2:15">
      <c r="B21" s="9" t="s">
        <v>5</v>
      </c>
      <c r="C21" s="10" t="s">
        <v>6</v>
      </c>
      <c r="D21" s="10" t="s">
        <v>7</v>
      </c>
      <c r="E21" s="11" t="s">
        <v>8</v>
      </c>
      <c r="N21" s="19"/>
      <c r="O21" s="19"/>
    </row>
    <row r="22" spans="2:15">
      <c r="B22" s="16">
        <v>45778</v>
      </c>
      <c r="C22" s="12">
        <v>0</v>
      </c>
      <c r="D22" s="12">
        <f>-(C6+C7)-((C8+C9)*(100-C19)/100)</f>
        <v>-205.94149999999999</v>
      </c>
      <c r="E22" s="13">
        <f>D22*((1+$C$39)^-C22)</f>
        <v>-205.94149999999999</v>
      </c>
    </row>
    <row r="23" spans="2:15">
      <c r="B23" s="16">
        <v>45792</v>
      </c>
      <c r="C23" s="12">
        <v>4.1666666666666664E-2</v>
      </c>
      <c r="D23" s="12">
        <f>C18*(100-C19)/100</f>
        <v>1.75</v>
      </c>
      <c r="E23" s="13">
        <f t="shared" ref="E23:E35" si="0">D23*((1+$C$39)^-C23)</f>
        <v>1.7480709675594452</v>
      </c>
    </row>
    <row r="24" spans="2:15">
      <c r="B24" s="16">
        <v>45809</v>
      </c>
      <c r="C24" s="12">
        <f>2/24</f>
        <v>8.3333333333333329E-2</v>
      </c>
      <c r="D24" s="12">
        <f>C17*(100-C19)/100</f>
        <v>0.875</v>
      </c>
      <c r="E24" s="13">
        <f t="shared" si="0"/>
        <v>0.8730720307497758</v>
      </c>
    </row>
    <row r="25" spans="2:15">
      <c r="B25" s="16">
        <v>45976</v>
      </c>
      <c r="C25" s="12">
        <v>0.54</v>
      </c>
      <c r="D25" s="12">
        <f>C18*(100-C19)/100</f>
        <v>1.75</v>
      </c>
      <c r="E25" s="13">
        <f t="shared" si="0"/>
        <v>1.725163873942396</v>
      </c>
    </row>
    <row r="26" spans="2:15">
      <c r="B26" s="16">
        <v>45992</v>
      </c>
      <c r="C26" s="12">
        <v>0.57999999999999996</v>
      </c>
      <c r="D26" s="12">
        <f>C10+(C17*(100-C19)/100)-(C13*C19/100)-(C15*C19/100)</f>
        <v>100.85675000000001</v>
      </c>
      <c r="E26" s="13">
        <f t="shared" si="0"/>
        <v>99.320168276271531</v>
      </c>
    </row>
    <row r="27" spans="2:15">
      <c r="B27" s="16">
        <v>46157</v>
      </c>
      <c r="C27" s="12">
        <v>1.0416666666666665</v>
      </c>
      <c r="D27" s="12">
        <f>C18*(100-C19)/100</f>
        <v>1.75</v>
      </c>
      <c r="E27" s="13">
        <f t="shared" si="0"/>
        <v>1.7024067447051907</v>
      </c>
    </row>
    <row r="28" spans="2:15">
      <c r="B28" s="16">
        <v>46341</v>
      </c>
      <c r="C28" s="12">
        <v>1.5416666666666665</v>
      </c>
      <c r="D28" s="12">
        <v>1.75</v>
      </c>
      <c r="E28" s="13">
        <f t="shared" si="0"/>
        <v>1.6800239263804038</v>
      </c>
    </row>
    <row r="29" spans="2:15">
      <c r="B29" s="16">
        <v>46522</v>
      </c>
      <c r="C29" s="12">
        <v>2.0416666666666665</v>
      </c>
      <c r="D29" s="12">
        <v>1.75</v>
      </c>
      <c r="E29" s="13">
        <f t="shared" si="0"/>
        <v>1.6579353917558657</v>
      </c>
    </row>
    <row r="30" spans="2:15">
      <c r="B30" s="16">
        <v>46706</v>
      </c>
      <c r="C30" s="12">
        <v>2.5416666666666665</v>
      </c>
      <c r="D30" s="12">
        <v>1.75</v>
      </c>
      <c r="E30" s="13">
        <f t="shared" si="0"/>
        <v>1.6361372716630487</v>
      </c>
    </row>
    <row r="31" spans="2:15">
      <c r="B31" s="16">
        <v>46888</v>
      </c>
      <c r="C31" s="12">
        <v>3.0416666666666665</v>
      </c>
      <c r="D31" s="12">
        <v>1.75</v>
      </c>
      <c r="E31" s="13">
        <f t="shared" si="0"/>
        <v>1.6146257478042847</v>
      </c>
    </row>
    <row r="32" spans="2:15">
      <c r="B32" s="16">
        <v>47072</v>
      </c>
      <c r="C32" s="12">
        <v>3.5416666666666665</v>
      </c>
      <c r="D32" s="12">
        <v>1.75</v>
      </c>
      <c r="E32" s="13">
        <f t="shared" si="0"/>
        <v>1.5933970520839296</v>
      </c>
    </row>
    <row r="33" spans="2:12">
      <c r="B33" s="16">
        <v>47253</v>
      </c>
      <c r="C33" s="12">
        <v>4.0416666666666661</v>
      </c>
      <c r="D33" s="12">
        <v>1.75</v>
      </c>
      <c r="E33" s="13">
        <f t="shared" si="0"/>
        <v>1.5724474659483194</v>
      </c>
    </row>
    <row r="34" spans="2:12">
      <c r="B34" s="16">
        <v>47437</v>
      </c>
      <c r="C34" s="12">
        <v>4.5416666666666661</v>
      </c>
      <c r="D34" s="12">
        <v>1.75</v>
      </c>
      <c r="E34" s="13">
        <f t="shared" si="0"/>
        <v>1.5517733197344028</v>
      </c>
    </row>
    <row r="35" spans="2:12">
      <c r="B35" s="16">
        <v>47618</v>
      </c>
      <c r="C35" s="12">
        <v>5.0416666666666661</v>
      </c>
      <c r="D35" s="12">
        <v>1.75</v>
      </c>
      <c r="E35" s="13">
        <f t="shared" si="0"/>
        <v>1.5313709920269423</v>
      </c>
    </row>
    <row r="36" spans="2:12" ht="20.100000000000001" thickBot="1">
      <c r="B36" s="8">
        <v>47802</v>
      </c>
      <c r="C36" s="15">
        <v>5.5416666666666661</v>
      </c>
      <c r="D36" s="15">
        <f>C10+C18*((100-C19)/100)-C14*(C19/100)-C16*(C19/100)</f>
        <v>101.625</v>
      </c>
      <c r="E36" s="22">
        <f>D36*((1+$C$39)^-C36)</f>
        <v>87.759686216903106</v>
      </c>
    </row>
    <row r="37" spans="2:12">
      <c r="J37" s="2"/>
      <c r="K37" s="3"/>
      <c r="L37" s="4"/>
    </row>
    <row r="38" spans="2:12" ht="20.100000000000001" thickBot="1"/>
    <row r="39" spans="2:12" ht="20.100000000000001" thickBot="1">
      <c r="B39" s="5" t="s">
        <v>9</v>
      </c>
      <c r="C39" s="45">
        <f>XIRR(D22:D36,B22:B36)</f>
        <v>2.682333290576935E-2</v>
      </c>
    </row>
    <row r="40" spans="2:12" ht="20.100000000000001" thickBot="1"/>
    <row r="41" spans="2:12" ht="20.100000000000001" thickBot="1">
      <c r="B41" s="5" t="s">
        <v>10</v>
      </c>
      <c r="C41" s="34">
        <f>SUM(E22:E36)</f>
        <v>2.4779277528622856E-2</v>
      </c>
    </row>
  </sheetData>
  <mergeCells count="2">
    <mergeCell ref="A1:G2"/>
    <mergeCell ref="A3:G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F6890-4D8E-AA4C-9028-EC3170C98FC2}">
  <sheetPr codeName="Sheet11">
    <tabColor rgb="FF73FB79"/>
  </sheetPr>
  <dimension ref="A1:O44"/>
  <sheetViews>
    <sheetView topLeftCell="A26" workbookViewId="0">
      <selection activeCell="C42" sqref="C42"/>
    </sheetView>
  </sheetViews>
  <sheetFormatPr defaultColWidth="8.85546875" defaultRowHeight="18.95"/>
  <cols>
    <col min="1" max="1" width="8.85546875" style="1"/>
    <col min="2" max="2" width="24" style="1" customWidth="1"/>
    <col min="3" max="3" width="12" style="1" customWidth="1"/>
    <col min="4" max="4" width="9.140625" style="1" customWidth="1"/>
    <col min="5" max="5" width="19.140625" style="1" customWidth="1"/>
    <col min="6" max="16384" width="8.85546875" style="1"/>
  </cols>
  <sheetData>
    <row r="1" spans="1:15" ht="18.95" customHeight="1">
      <c r="A1" s="44" t="s">
        <v>32</v>
      </c>
      <c r="B1" s="44"/>
      <c r="C1" s="44"/>
      <c r="D1" s="44"/>
      <c r="E1" s="44"/>
      <c r="F1" s="44"/>
      <c r="G1" s="44"/>
    </row>
    <row r="2" spans="1:15" ht="18.95" customHeight="1">
      <c r="A2" s="44"/>
      <c r="B2" s="44"/>
      <c r="C2" s="44"/>
      <c r="D2" s="44"/>
      <c r="E2" s="44"/>
      <c r="F2" s="44"/>
      <c r="G2" s="44"/>
    </row>
    <row r="3" spans="1:15" ht="21">
      <c r="A3" s="44" t="s">
        <v>11</v>
      </c>
      <c r="B3" s="44"/>
      <c r="C3" s="44"/>
      <c r="D3" s="44"/>
      <c r="E3" s="44"/>
      <c r="F3" s="44"/>
      <c r="G3" s="44"/>
    </row>
    <row r="4" spans="1:15" ht="21">
      <c r="A4" s="18"/>
      <c r="B4" s="18"/>
      <c r="C4" s="18"/>
      <c r="D4" s="18"/>
      <c r="E4" s="18"/>
      <c r="F4" s="18"/>
      <c r="G4" s="18"/>
    </row>
    <row r="5" spans="1:15" ht="20.100000000000001" thickBot="1"/>
    <row r="6" spans="1:15" ht="20.100000000000001" thickBot="1">
      <c r="B6" s="5" t="s">
        <v>33</v>
      </c>
      <c r="C6" s="6">
        <v>110.03</v>
      </c>
      <c r="N6" s="19"/>
      <c r="O6" s="19"/>
    </row>
    <row r="7" spans="1:15" ht="20.100000000000001" thickBot="1">
      <c r="B7" s="5" t="s">
        <v>21</v>
      </c>
      <c r="C7" s="6">
        <v>103.76</v>
      </c>
      <c r="N7" s="19"/>
      <c r="O7" s="19"/>
    </row>
    <row r="8" spans="1:15" ht="20.100000000000001" thickBot="1">
      <c r="B8" s="5" t="s">
        <v>34</v>
      </c>
      <c r="C8" s="20">
        <v>0</v>
      </c>
      <c r="N8" s="19"/>
      <c r="O8" s="19"/>
    </row>
    <row r="9" spans="1:15" ht="20.100000000000001" thickBot="1">
      <c r="B9" s="5" t="s">
        <v>23</v>
      </c>
      <c r="C9" s="20">
        <v>1.83</v>
      </c>
      <c r="N9" s="19"/>
      <c r="O9" s="19"/>
    </row>
    <row r="10" spans="1:15" ht="20.100000000000001" thickBot="1">
      <c r="B10" s="5" t="s">
        <v>3</v>
      </c>
      <c r="C10" s="6">
        <v>100</v>
      </c>
      <c r="N10" s="19"/>
      <c r="O10" s="19"/>
    </row>
    <row r="11" spans="1:15" ht="20.100000000000001" thickBot="1">
      <c r="B11" s="5" t="s">
        <v>35</v>
      </c>
      <c r="C11" s="6">
        <v>100.15</v>
      </c>
      <c r="N11" s="19"/>
      <c r="O11" s="19"/>
    </row>
    <row r="12" spans="1:15" ht="20.100000000000001" thickBot="1">
      <c r="B12" s="5" t="s">
        <v>25</v>
      </c>
      <c r="C12" s="6">
        <v>99</v>
      </c>
      <c r="N12" s="19"/>
      <c r="O12" s="19"/>
    </row>
    <row r="13" spans="1:15" ht="20.100000000000001" thickBot="1">
      <c r="B13" s="5" t="s">
        <v>36</v>
      </c>
      <c r="C13" s="6">
        <f>MAX(0,C10-C6)</f>
        <v>0</v>
      </c>
      <c r="N13" s="19"/>
      <c r="O13" s="19"/>
    </row>
    <row r="14" spans="1:15" ht="20.100000000000001" thickBot="1">
      <c r="B14" s="5" t="s">
        <v>27</v>
      </c>
      <c r="C14" s="6">
        <f>MAX(0,C10-C7)</f>
        <v>0</v>
      </c>
      <c r="N14" s="19"/>
      <c r="O14" s="19"/>
    </row>
    <row r="15" spans="1:15" ht="20.100000000000001" thickBot="1">
      <c r="B15" s="5" t="s">
        <v>37</v>
      </c>
      <c r="C15" s="6">
        <f>MAX(0,C10-C11)</f>
        <v>0</v>
      </c>
      <c r="N15" s="19"/>
      <c r="O15" s="19"/>
    </row>
    <row r="16" spans="1:15" ht="20.100000000000001" thickBot="1">
      <c r="B16" s="5" t="s">
        <v>29</v>
      </c>
      <c r="C16" s="6">
        <f>MAX(0,C10-C12)</f>
        <v>1</v>
      </c>
      <c r="N16" s="19"/>
      <c r="O16" s="19"/>
    </row>
    <row r="17" spans="2:15" ht="20.100000000000001" thickBot="1">
      <c r="B17" s="5" t="s">
        <v>38</v>
      </c>
      <c r="C17" s="6">
        <v>3.25</v>
      </c>
      <c r="N17" s="19"/>
      <c r="O17" s="19"/>
    </row>
    <row r="18" spans="2:15" ht="20.100000000000001" thickBot="1">
      <c r="B18" s="5" t="s">
        <v>31</v>
      </c>
      <c r="C18" s="6">
        <v>2</v>
      </c>
      <c r="N18" s="19"/>
      <c r="O18" s="19"/>
    </row>
    <row r="19" spans="2:15" ht="20.100000000000001" thickBot="1">
      <c r="B19" s="5" t="s">
        <v>16</v>
      </c>
      <c r="C19" s="6">
        <v>12.5</v>
      </c>
      <c r="N19" s="19"/>
      <c r="O19" s="19"/>
    </row>
    <row r="20" spans="2:15" ht="20.100000000000001" thickBot="1">
      <c r="N20" s="19"/>
      <c r="O20" s="19"/>
    </row>
    <row r="21" spans="2:15">
      <c r="B21" s="9" t="s">
        <v>5</v>
      </c>
      <c r="C21" s="10" t="s">
        <v>6</v>
      </c>
      <c r="D21" s="10" t="s">
        <v>7</v>
      </c>
      <c r="E21" s="11" t="s">
        <v>8</v>
      </c>
      <c r="N21" s="19"/>
      <c r="O21" s="19"/>
    </row>
    <row r="22" spans="2:15">
      <c r="B22" s="16">
        <v>45778</v>
      </c>
      <c r="C22" s="12">
        <v>0</v>
      </c>
      <c r="D22" s="12">
        <f>-(C6+C7)-((C8+C9)*(100-C19)/100)</f>
        <v>-215.39125000000001</v>
      </c>
      <c r="E22" s="13">
        <f>D22*((1+$C$42)^-C22)</f>
        <v>-215.39125000000001</v>
      </c>
    </row>
    <row r="23" spans="2:15">
      <c r="B23" s="16">
        <v>45792</v>
      </c>
      <c r="C23" s="12">
        <v>4.1666666666666664E-2</v>
      </c>
      <c r="D23" s="12">
        <f>C18*(100-C19)/100</f>
        <v>1.75</v>
      </c>
      <c r="E23" s="13">
        <f t="shared" ref="E23:E27" si="0">D23*((1+$C$42)^-C23)</f>
        <v>1.7482897879675967</v>
      </c>
    </row>
    <row r="24" spans="2:15">
      <c r="B24" s="16">
        <v>45962</v>
      </c>
      <c r="C24" s="12">
        <v>0.5</v>
      </c>
      <c r="D24" s="12">
        <f>C17*(100-C19)/100</f>
        <v>2.84375</v>
      </c>
      <c r="E24" s="13">
        <f t="shared" si="0"/>
        <v>2.8105795327360936</v>
      </c>
    </row>
    <row r="25" spans="2:15">
      <c r="B25" s="16">
        <v>45976</v>
      </c>
      <c r="C25" s="12">
        <v>0.54</v>
      </c>
      <c r="D25" s="12">
        <f>C18*(100-C19)/100</f>
        <v>1.75</v>
      </c>
      <c r="E25" s="13">
        <f t="shared" si="0"/>
        <v>1.7279647200386659</v>
      </c>
    </row>
    <row r="26" spans="2:15">
      <c r="B26" s="16">
        <v>46143</v>
      </c>
      <c r="C26" s="12">
        <v>1</v>
      </c>
      <c r="D26" s="12">
        <f>C17*(100-C19)/100</f>
        <v>2.84375</v>
      </c>
      <c r="E26" s="13">
        <f t="shared" si="0"/>
        <v>2.7777959770848488</v>
      </c>
    </row>
    <row r="27" spans="2:15">
      <c r="B27" s="16">
        <v>46157</v>
      </c>
      <c r="C27" s="12">
        <v>1.0416666666666665</v>
      </c>
      <c r="D27" s="12">
        <f>C18*(100-C19)/100</f>
        <v>1.75</v>
      </c>
      <c r="E27" s="13">
        <f t="shared" si="0"/>
        <v>1.7077423612465628</v>
      </c>
    </row>
    <row r="28" spans="2:15">
      <c r="B28" s="16">
        <v>46327</v>
      </c>
      <c r="C28" s="12">
        <v>1.5</v>
      </c>
      <c r="D28" s="12">
        <v>2.84375</v>
      </c>
      <c r="E28" s="13">
        <f t="shared" ref="E28:E33" si="1">D28*((1+$C$42)^-C28)</f>
        <v>2.745394819977613</v>
      </c>
    </row>
    <row r="29" spans="2:15">
      <c r="B29" s="16">
        <v>46341</v>
      </c>
      <c r="C29" s="12">
        <v>1.5416666666666665</v>
      </c>
      <c r="D29" s="12">
        <v>1.75</v>
      </c>
      <c r="E29" s="13">
        <f t="shared" si="1"/>
        <v>1.6878226734790325</v>
      </c>
    </row>
    <row r="30" spans="2:15">
      <c r="B30" s="16">
        <v>46508</v>
      </c>
      <c r="C30" s="12">
        <v>2</v>
      </c>
      <c r="D30" s="26">
        <v>2.84</v>
      </c>
      <c r="E30" s="13">
        <f t="shared" si="1"/>
        <v>2.7097935285468369</v>
      </c>
    </row>
    <row r="31" spans="2:15">
      <c r="B31" s="16">
        <v>46522</v>
      </c>
      <c r="C31" s="12">
        <v>2.0416666666666665</v>
      </c>
      <c r="D31" s="12">
        <v>1.75</v>
      </c>
      <c r="E31" s="13">
        <f t="shared" si="1"/>
        <v>1.6681353357250406</v>
      </c>
    </row>
    <row r="32" spans="2:15">
      <c r="B32" s="16">
        <v>46692</v>
      </c>
      <c r="C32" s="12">
        <v>2.5</v>
      </c>
      <c r="D32" s="12">
        <f>C10+C17*(100-C19)/100-(C13*C19/100)-(C15*C19/100)</f>
        <v>102.84375</v>
      </c>
      <c r="E32" s="13">
        <f t="shared" si="1"/>
        <v>96.984030895148763</v>
      </c>
    </row>
    <row r="33" spans="2:12">
      <c r="B33" s="16">
        <v>46706</v>
      </c>
      <c r="C33" s="12">
        <v>2.5416666666666665</v>
      </c>
      <c r="D33" s="12">
        <v>1.75</v>
      </c>
      <c r="E33" s="13">
        <f t="shared" si="1"/>
        <v>1.6486776377749983</v>
      </c>
    </row>
    <row r="34" spans="2:12">
      <c r="B34" s="16">
        <v>46888</v>
      </c>
      <c r="C34" s="12">
        <v>3.0416666666666665</v>
      </c>
      <c r="D34" s="12">
        <v>1.75</v>
      </c>
      <c r="E34" s="13">
        <f t="shared" ref="E34:E38" si="2">D34*((1+$C$42)^-C34)</f>
        <v>1.6294469010321233</v>
      </c>
    </row>
    <row r="35" spans="2:12">
      <c r="B35" s="16">
        <v>47072</v>
      </c>
      <c r="C35" s="12">
        <v>3.5416666666666665</v>
      </c>
      <c r="D35" s="12">
        <v>1.75</v>
      </c>
      <c r="E35" s="13">
        <f t="shared" si="2"/>
        <v>1.6104404781436983</v>
      </c>
    </row>
    <row r="36" spans="2:12">
      <c r="B36" s="16">
        <v>47253</v>
      </c>
      <c r="C36" s="12">
        <v>4.0416666666666661</v>
      </c>
      <c r="D36" s="12">
        <v>1.75</v>
      </c>
      <c r="E36" s="13">
        <f t="shared" si="2"/>
        <v>1.5916557526366266</v>
      </c>
    </row>
    <row r="37" spans="2:12">
      <c r="B37" s="16">
        <v>47437</v>
      </c>
      <c r="C37" s="12">
        <v>4.5416666666666661</v>
      </c>
      <c r="D37" s="12">
        <v>1.75</v>
      </c>
      <c r="E37" s="13">
        <f t="shared" si="2"/>
        <v>1.5730901385572451</v>
      </c>
    </row>
    <row r="38" spans="2:12">
      <c r="B38" s="16">
        <v>47618</v>
      </c>
      <c r="C38" s="12">
        <v>5.0416666666666661</v>
      </c>
      <c r="D38" s="12">
        <v>1.75</v>
      </c>
      <c r="E38" s="13">
        <f t="shared" si="2"/>
        <v>1.5547410801153332</v>
      </c>
    </row>
    <row r="39" spans="2:12" ht="20.100000000000001" thickBot="1">
      <c r="B39" s="8">
        <v>47802</v>
      </c>
      <c r="C39" s="15">
        <v>5.5416666666666661</v>
      </c>
      <c r="D39" s="15">
        <f>C10+C18*((100-C19)/100)-C14*(C19/100)-C16*(C19/100)</f>
        <v>101.625</v>
      </c>
      <c r="E39" s="22">
        <f>D39*((1+$C$42)^-C39)</f>
        <v>89.232908552367235</v>
      </c>
    </row>
    <row r="40" spans="2:12">
      <c r="J40" s="2"/>
      <c r="K40" s="3"/>
      <c r="L40" s="4"/>
    </row>
    <row r="41" spans="2:12" ht="20.100000000000001" thickBot="1"/>
    <row r="42" spans="2:12" ht="20.100000000000001" thickBot="1">
      <c r="B42" s="5" t="s">
        <v>9</v>
      </c>
      <c r="C42" s="45">
        <f>XIRR(D22:D39,B22:B39)</f>
        <v>2.374329268932342E-2</v>
      </c>
    </row>
    <row r="43" spans="2:12" ht="20.100000000000001" thickBot="1"/>
    <row r="44" spans="2:12" ht="20.100000000000001" thickBot="1">
      <c r="B44" s="5" t="s">
        <v>10</v>
      </c>
      <c r="C44" s="34">
        <f>SUM(E22:E39)</f>
        <v>1.7260172578303923E-2</v>
      </c>
    </row>
  </sheetData>
  <mergeCells count="2">
    <mergeCell ref="A1:G2"/>
    <mergeCell ref="A3:G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B817A-B8A6-674E-85B7-EB230D1953A6}">
  <sheetPr codeName="Sheet12">
    <tabColor rgb="FF73FDD6"/>
  </sheetPr>
  <dimension ref="A1:Q52"/>
  <sheetViews>
    <sheetView tabSelected="1" topLeftCell="A42" workbookViewId="0">
      <selection activeCell="F52" sqref="F52"/>
    </sheetView>
  </sheetViews>
  <sheetFormatPr defaultColWidth="8.85546875" defaultRowHeight="18.95"/>
  <cols>
    <col min="1" max="1" width="8.85546875" style="1"/>
    <col min="2" max="2" width="29.140625" style="1" customWidth="1"/>
    <col min="3" max="3" width="12" style="1" customWidth="1"/>
    <col min="4" max="4" width="15.85546875" style="1" customWidth="1"/>
    <col min="5" max="5" width="19.140625" style="1" customWidth="1"/>
    <col min="6" max="6" width="15.140625" style="1" customWidth="1"/>
    <col min="7" max="7" width="8.85546875" style="1"/>
    <col min="8" max="8" width="14.42578125" style="1" bestFit="1" customWidth="1"/>
    <col min="9" max="16384" width="8.85546875" style="1"/>
  </cols>
  <sheetData>
    <row r="1" spans="1:17" ht="18.95" customHeight="1">
      <c r="A1" s="44" t="s">
        <v>39</v>
      </c>
      <c r="B1" s="44"/>
      <c r="C1" s="44"/>
      <c r="D1" s="44"/>
      <c r="E1" s="44"/>
      <c r="F1" s="44"/>
      <c r="G1" s="44"/>
    </row>
    <row r="2" spans="1:17" ht="18.95" customHeight="1">
      <c r="A2" s="44"/>
      <c r="B2" s="44"/>
      <c r="C2" s="44"/>
      <c r="D2" s="44"/>
      <c r="E2" s="44"/>
      <c r="F2" s="44"/>
      <c r="G2" s="44"/>
    </row>
    <row r="3" spans="1:17" ht="21">
      <c r="A3" s="44" t="s">
        <v>11</v>
      </c>
      <c r="B3" s="44"/>
      <c r="C3" s="44"/>
      <c r="D3" s="44"/>
      <c r="E3" s="44"/>
      <c r="F3" s="44"/>
      <c r="G3" s="44"/>
    </row>
    <row r="4" spans="1:17" ht="21.95" thickBot="1">
      <c r="A4" s="18"/>
      <c r="B4" s="18"/>
      <c r="C4" s="18"/>
      <c r="D4" s="18"/>
      <c r="E4" s="18"/>
      <c r="F4" s="18"/>
      <c r="G4" s="18"/>
    </row>
    <row r="5" spans="1:17" ht="41.1" thickBot="1">
      <c r="D5" s="35" t="s">
        <v>40</v>
      </c>
      <c r="E5" s="36" t="s">
        <v>41</v>
      </c>
      <c r="F5" s="37" t="s">
        <v>42</v>
      </c>
    </row>
    <row r="6" spans="1:17" ht="20.100000000000001" thickBot="1">
      <c r="B6" s="5" t="s">
        <v>20</v>
      </c>
      <c r="C6" s="6">
        <v>99.853999999999999</v>
      </c>
      <c r="D6" s="39">
        <f>1000000*0.15/C6</f>
        <v>1502.1932020750296</v>
      </c>
      <c r="E6" s="40">
        <f>FLOOR(D6,1)</f>
        <v>1502</v>
      </c>
      <c r="F6" s="41">
        <f>E6*C6</f>
        <v>149980.70800000001</v>
      </c>
      <c r="G6" s="27"/>
      <c r="H6" s="14"/>
      <c r="M6" s="14"/>
      <c r="N6" s="28"/>
      <c r="P6" s="27"/>
      <c r="Q6" s="14"/>
    </row>
    <row r="7" spans="1:17" ht="20.100000000000001" thickBot="1">
      <c r="B7" s="5" t="s">
        <v>33</v>
      </c>
      <c r="C7" s="6">
        <v>110.03</v>
      </c>
      <c r="D7" s="39">
        <f>1000000*0.45/C7</f>
        <v>4089.7936926292828</v>
      </c>
      <c r="E7" s="40">
        <f t="shared" ref="E7:E8" si="0">FLOOR(D7,1)</f>
        <v>4089</v>
      </c>
      <c r="F7" s="41">
        <f t="shared" ref="F7:F8" si="1">E7*C7</f>
        <v>449912.67</v>
      </c>
      <c r="G7" s="27"/>
      <c r="H7" s="14"/>
      <c r="M7" s="14"/>
      <c r="N7" s="28"/>
      <c r="P7" s="27"/>
      <c r="Q7" s="14"/>
    </row>
    <row r="8" spans="1:17" ht="20.100000000000001" thickBot="1">
      <c r="B8" s="5" t="s">
        <v>21</v>
      </c>
      <c r="C8" s="6">
        <v>103.76</v>
      </c>
      <c r="D8" s="42">
        <f>1000000*0.4/C8</f>
        <v>3855.0501156515033</v>
      </c>
      <c r="E8" s="38">
        <f t="shared" si="0"/>
        <v>3855</v>
      </c>
      <c r="F8" s="43">
        <f t="shared" si="1"/>
        <v>399994.80000000005</v>
      </c>
      <c r="G8" s="27"/>
      <c r="H8" s="14"/>
      <c r="M8" s="14"/>
      <c r="P8" s="27"/>
      <c r="Q8" s="14"/>
    </row>
    <row r="9" spans="1:17" ht="20.100000000000001" thickBot="1">
      <c r="B9" s="5" t="s">
        <v>22</v>
      </c>
      <c r="C9" s="6">
        <v>0.83</v>
      </c>
      <c r="D9" s="30"/>
      <c r="E9" s="32"/>
      <c r="F9" s="32"/>
      <c r="H9" s="14"/>
      <c r="P9" s="27"/>
      <c r="Q9" s="14"/>
    </row>
    <row r="10" spans="1:17" ht="20.100000000000001" thickBot="1">
      <c r="B10" s="5" t="s">
        <v>34</v>
      </c>
      <c r="C10" s="6">
        <v>0</v>
      </c>
      <c r="D10" s="31"/>
      <c r="E10" s="29"/>
      <c r="F10" s="29"/>
      <c r="N10" s="19"/>
      <c r="O10" s="19"/>
    </row>
    <row r="11" spans="1:17" ht="20.100000000000001" thickBot="1">
      <c r="B11" s="5" t="s">
        <v>23</v>
      </c>
      <c r="C11" s="6">
        <v>1.83</v>
      </c>
      <c r="D11" s="31"/>
      <c r="E11" s="29"/>
      <c r="F11" s="29"/>
      <c r="N11" s="19"/>
      <c r="O11" s="19"/>
    </row>
    <row r="12" spans="1:17" ht="20.100000000000001" thickBot="1">
      <c r="B12" s="5" t="s">
        <v>3</v>
      </c>
      <c r="C12" s="6">
        <v>100</v>
      </c>
      <c r="D12" s="31"/>
      <c r="E12" s="19"/>
      <c r="F12" s="19"/>
      <c r="N12" s="19"/>
      <c r="O12" s="19"/>
    </row>
    <row r="13" spans="1:17" ht="20.100000000000001" thickBot="1">
      <c r="B13" s="5" t="s">
        <v>24</v>
      </c>
      <c r="C13" s="6">
        <v>100.51</v>
      </c>
      <c r="D13" s="31"/>
      <c r="E13" s="19"/>
      <c r="F13" s="19"/>
      <c r="N13" s="19"/>
      <c r="O13" s="19"/>
    </row>
    <row r="14" spans="1:17" ht="20.100000000000001" thickBot="1">
      <c r="B14" s="5" t="s">
        <v>35</v>
      </c>
      <c r="C14" s="6">
        <v>100.15</v>
      </c>
      <c r="D14" s="31"/>
      <c r="E14" s="19"/>
      <c r="F14" s="19"/>
      <c r="N14" s="19"/>
      <c r="O14" s="19"/>
    </row>
    <row r="15" spans="1:17" ht="20.100000000000001" thickBot="1">
      <c r="B15" s="5" t="s">
        <v>25</v>
      </c>
      <c r="C15" s="6">
        <v>99</v>
      </c>
      <c r="D15" s="31"/>
      <c r="E15" s="19"/>
      <c r="F15" s="19"/>
      <c r="N15" s="19"/>
      <c r="O15" s="19"/>
    </row>
    <row r="16" spans="1:17" ht="20.100000000000001" thickBot="1">
      <c r="B16" s="5" t="s">
        <v>26</v>
      </c>
      <c r="C16" s="6">
        <f>MAX(0,C12-C6)</f>
        <v>0.1460000000000008</v>
      </c>
      <c r="D16" s="31"/>
      <c r="E16" s="19"/>
      <c r="F16" s="19"/>
      <c r="N16" s="19"/>
      <c r="O16" s="19"/>
      <c r="P16" s="27"/>
    </row>
    <row r="17" spans="2:15" ht="20.100000000000001" thickBot="1">
      <c r="B17" s="5" t="s">
        <v>36</v>
      </c>
      <c r="C17" s="6">
        <f>MAX(0,C12-C7)</f>
        <v>0</v>
      </c>
      <c r="D17" s="31"/>
      <c r="E17" s="19"/>
      <c r="F17" s="19"/>
      <c r="N17" s="19"/>
      <c r="O17" s="19"/>
    </row>
    <row r="18" spans="2:15" ht="20.100000000000001" thickBot="1">
      <c r="B18" s="5" t="s">
        <v>27</v>
      </c>
      <c r="C18" s="6">
        <f>MAX(0,C12-C8)</f>
        <v>0</v>
      </c>
      <c r="D18" s="31"/>
      <c r="E18" s="19"/>
      <c r="F18" s="19"/>
      <c r="N18" s="19"/>
      <c r="O18" s="19"/>
    </row>
    <row r="19" spans="2:15" ht="20.100000000000001" thickBot="1">
      <c r="B19" s="5" t="s">
        <v>28</v>
      </c>
      <c r="C19" s="6">
        <f>MAX(0,C12-C13)</f>
        <v>0</v>
      </c>
      <c r="D19" s="31"/>
      <c r="E19" s="19"/>
      <c r="F19" s="19"/>
      <c r="N19" s="19"/>
      <c r="O19" s="19"/>
    </row>
    <row r="20" spans="2:15" ht="20.100000000000001" thickBot="1">
      <c r="B20" s="5" t="s">
        <v>37</v>
      </c>
      <c r="C20" s="6">
        <f>MAX(0,C12-C14)</f>
        <v>0</v>
      </c>
      <c r="D20" s="31"/>
      <c r="E20" s="19"/>
      <c r="F20" s="19"/>
      <c r="N20" s="19"/>
      <c r="O20" s="19"/>
    </row>
    <row r="21" spans="2:15" ht="20.100000000000001" thickBot="1">
      <c r="B21" s="5" t="s">
        <v>29</v>
      </c>
      <c r="C21" s="6">
        <f>MAX(0,C12-C15)</f>
        <v>1</v>
      </c>
      <c r="D21" s="31"/>
      <c r="E21" s="19"/>
      <c r="F21" s="19"/>
      <c r="N21" s="19"/>
      <c r="O21" s="19"/>
    </row>
    <row r="22" spans="2:15" ht="20.100000000000001" thickBot="1">
      <c r="B22" s="5" t="s">
        <v>30</v>
      </c>
      <c r="C22" s="6">
        <v>1</v>
      </c>
      <c r="D22" s="31"/>
      <c r="E22" s="19"/>
      <c r="F22" s="19"/>
      <c r="N22" s="19"/>
      <c r="O22" s="19"/>
    </row>
    <row r="23" spans="2:15" ht="20.100000000000001" thickBot="1">
      <c r="B23" s="5" t="s">
        <v>38</v>
      </c>
      <c r="C23" s="6">
        <v>3.25</v>
      </c>
      <c r="D23" s="31"/>
      <c r="E23" s="19"/>
      <c r="F23" s="19"/>
      <c r="N23" s="19"/>
      <c r="O23" s="19"/>
    </row>
    <row r="24" spans="2:15" ht="20.100000000000001" thickBot="1">
      <c r="B24" s="5" t="s">
        <v>31</v>
      </c>
      <c r="C24" s="6">
        <v>2</v>
      </c>
      <c r="D24" s="31"/>
      <c r="E24" s="19"/>
      <c r="F24" s="19"/>
      <c r="N24" s="19"/>
      <c r="O24" s="19"/>
    </row>
    <row r="25" spans="2:15" ht="20.100000000000001" thickBot="1">
      <c r="B25" s="5" t="s">
        <v>16</v>
      </c>
      <c r="C25" s="6">
        <v>12.5</v>
      </c>
      <c r="D25" s="31"/>
      <c r="E25" s="19"/>
      <c r="F25" s="19"/>
      <c r="N25" s="19"/>
      <c r="O25" s="19"/>
    </row>
    <row r="26" spans="2:15" ht="20.100000000000001" thickBot="1">
      <c r="N26" s="19"/>
      <c r="O26" s="19"/>
    </row>
    <row r="27" spans="2:15">
      <c r="B27" s="9" t="s">
        <v>5</v>
      </c>
      <c r="C27" s="10" t="s">
        <v>6</v>
      </c>
      <c r="D27" s="10" t="s">
        <v>7</v>
      </c>
      <c r="E27" s="11" t="s">
        <v>8</v>
      </c>
      <c r="N27" s="19"/>
      <c r="O27" s="19"/>
    </row>
    <row r="28" spans="2:15">
      <c r="B28" s="16">
        <v>45778</v>
      </c>
      <c r="C28" s="12">
        <v>0</v>
      </c>
      <c r="D28" s="12">
        <f>-(F6+F7+F8)-((E6*C9+E7*C10+E8*C11)*(100-C25)/100)</f>
        <v>-1007151.8242500001</v>
      </c>
      <c r="E28" s="13">
        <f>D28*((1+$C$50)^-C28)</f>
        <v>-1007151.8242500001</v>
      </c>
    </row>
    <row r="29" spans="2:15">
      <c r="B29" s="16">
        <v>45792</v>
      </c>
      <c r="C29" s="12">
        <v>4.1666666666666664E-2</v>
      </c>
      <c r="D29" s="12">
        <f>C24*(100-C25)/100*E8</f>
        <v>6746.25</v>
      </c>
      <c r="E29" s="13">
        <f t="shared" ref="E29:E47" si="2">D29*((1+$C$50)^-C29)</f>
        <v>6739.7268396945901</v>
      </c>
    </row>
    <row r="30" spans="2:15">
      <c r="B30" s="16">
        <v>45809</v>
      </c>
      <c r="C30" s="12">
        <v>0.08</v>
      </c>
      <c r="D30" s="12">
        <f>C22*(100-C25)/100*E6</f>
        <v>1314.25</v>
      </c>
      <c r="E30" s="13">
        <f t="shared" si="2"/>
        <v>1311.8111695005318</v>
      </c>
    </row>
    <row r="31" spans="2:15">
      <c r="B31" s="16">
        <v>45962</v>
      </c>
      <c r="C31" s="12">
        <v>0.5</v>
      </c>
      <c r="D31" s="12">
        <f>C23*E7*(100-C25)/100</f>
        <v>11628.09375</v>
      </c>
      <c r="E31" s="13">
        <f t="shared" si="2"/>
        <v>11493.886164193447</v>
      </c>
    </row>
    <row r="32" spans="2:15">
      <c r="B32" s="16">
        <v>45976</v>
      </c>
      <c r="C32" s="12">
        <v>0.54</v>
      </c>
      <c r="D32" s="12">
        <f>C24*(100-C25)/100*E8</f>
        <v>6746.25</v>
      </c>
      <c r="E32" s="13">
        <f t="shared" si="2"/>
        <v>6662.1969520392986</v>
      </c>
    </row>
    <row r="33" spans="2:12">
      <c r="B33" s="16">
        <v>45992</v>
      </c>
      <c r="C33" s="12">
        <v>0.57999999999999996</v>
      </c>
      <c r="D33" s="12">
        <f>(C12+(C22*(100-C25)/100)-(C16*C25/100)-(C19*C25/100))*E6</f>
        <v>151486.83850000001</v>
      </c>
      <c r="E33" s="13">
        <f t="shared" si="2"/>
        <v>149460.56090207878</v>
      </c>
    </row>
    <row r="34" spans="2:12">
      <c r="B34" s="16">
        <v>46143</v>
      </c>
      <c r="C34" s="12">
        <v>1</v>
      </c>
      <c r="D34" s="12">
        <v>11628.09375</v>
      </c>
      <c r="E34" s="13">
        <f t="shared" si="2"/>
        <v>11361.227557649983</v>
      </c>
    </row>
    <row r="35" spans="2:12">
      <c r="B35" s="16">
        <v>46157</v>
      </c>
      <c r="C35" s="12">
        <v>1.0416666666666665</v>
      </c>
      <c r="D35" s="12">
        <f>C24*(100-C25)/100*E8</f>
        <v>6746.25</v>
      </c>
      <c r="E35" s="13">
        <f t="shared" si="2"/>
        <v>6585.0492736327833</v>
      </c>
    </row>
    <row r="36" spans="2:12">
      <c r="B36" s="16">
        <v>46327</v>
      </c>
      <c r="C36" s="12">
        <v>1.5</v>
      </c>
      <c r="D36" s="12">
        <v>11628.09375</v>
      </c>
      <c r="E36" s="13">
        <f t="shared" si="2"/>
        <v>11230.100052566782</v>
      </c>
    </row>
    <row r="37" spans="2:12">
      <c r="B37" s="16">
        <v>46341</v>
      </c>
      <c r="C37" s="12">
        <v>1.5416666666666665</v>
      </c>
      <c r="D37" s="12">
        <v>6746.25</v>
      </c>
      <c r="E37" s="13">
        <f t="shared" si="2"/>
        <v>6509.0468277949649</v>
      </c>
    </row>
    <row r="38" spans="2:12">
      <c r="B38" s="16">
        <v>46508</v>
      </c>
      <c r="C38" s="12">
        <v>2</v>
      </c>
      <c r="D38" s="26">
        <v>11628.09375</v>
      </c>
      <c r="E38" s="13">
        <f t="shared" si="2"/>
        <v>11100.485977480654</v>
      </c>
    </row>
    <row r="39" spans="2:12">
      <c r="B39" s="16">
        <v>46522</v>
      </c>
      <c r="C39" s="12">
        <v>2.0416666666666665</v>
      </c>
      <c r="D39" s="12">
        <v>6746.25</v>
      </c>
      <c r="E39" s="13">
        <f t="shared" si="2"/>
        <v>6433.921576877533</v>
      </c>
    </row>
    <row r="40" spans="2:12">
      <c r="B40" s="16">
        <v>46692</v>
      </c>
      <c r="C40" s="12">
        <v>2.5</v>
      </c>
      <c r="D40" s="12">
        <f>(C12+C23*(100-C25)/100-(C17*C25/100)-(C20*C25/100))*E7</f>
        <v>420528.09375</v>
      </c>
      <c r="E40" s="13">
        <f t="shared" si="2"/>
        <v>396813.87520155677</v>
      </c>
    </row>
    <row r="41" spans="2:12">
      <c r="B41" s="16">
        <v>46706</v>
      </c>
      <c r="C41" s="12">
        <v>2.5416666666666665</v>
      </c>
      <c r="D41" s="12">
        <v>6746.25</v>
      </c>
      <c r="E41" s="13">
        <f t="shared" si="2"/>
        <v>6359.6633965888313</v>
      </c>
    </row>
    <row r="42" spans="2:12">
      <c r="B42" s="16">
        <v>46888</v>
      </c>
      <c r="C42" s="12">
        <v>3.0416666666666665</v>
      </c>
      <c r="D42" s="12">
        <v>6746.25</v>
      </c>
      <c r="E42" s="13">
        <f t="shared" si="2"/>
        <v>6286.2622794884037</v>
      </c>
    </row>
    <row r="43" spans="2:12">
      <c r="B43" s="16">
        <v>47072</v>
      </c>
      <c r="C43" s="12">
        <v>3.5416666666666665</v>
      </c>
      <c r="D43" s="12">
        <v>6746.25</v>
      </c>
      <c r="E43" s="13">
        <f t="shared" si="2"/>
        <v>6213.708333638343</v>
      </c>
    </row>
    <row r="44" spans="2:12">
      <c r="B44" s="16">
        <v>47253</v>
      </c>
      <c r="C44" s="12">
        <v>4.0416666666666661</v>
      </c>
      <c r="D44" s="12">
        <v>6746.25</v>
      </c>
      <c r="E44" s="13">
        <f t="shared" si="2"/>
        <v>6141.9917812701897</v>
      </c>
    </row>
    <row r="45" spans="2:12">
      <c r="B45" s="16">
        <v>47437</v>
      </c>
      <c r="C45" s="12">
        <v>4.5416666666666661</v>
      </c>
      <c r="D45" s="12">
        <v>6746.25</v>
      </c>
      <c r="E45" s="13">
        <f t="shared" si="2"/>
        <v>6071.1029574672375</v>
      </c>
    </row>
    <row r="46" spans="2:12">
      <c r="B46" s="16">
        <v>47618</v>
      </c>
      <c r="C46" s="12">
        <v>5.0416666666666661</v>
      </c>
      <c r="D46" s="12">
        <v>6746.25</v>
      </c>
      <c r="E46" s="13">
        <f t="shared" si="2"/>
        <v>6001.0323088620262</v>
      </c>
    </row>
    <row r="47" spans="2:12" ht="20.100000000000001" thickBot="1">
      <c r="B47" s="8">
        <v>47802</v>
      </c>
      <c r="C47" s="15">
        <v>5.5416666666666661</v>
      </c>
      <c r="D47" s="15">
        <f>(C12+C24*((100-C25)/100)-C18*(C25/100)-C21*(C25/100))*E8</f>
        <v>391764.375</v>
      </c>
      <c r="E47" s="22">
        <f t="shared" si="2"/>
        <v>344466.38064140297</v>
      </c>
    </row>
    <row r="48" spans="2:12">
      <c r="J48" s="2"/>
      <c r="K48" s="3"/>
      <c r="L48" s="4"/>
    </row>
    <row r="49" spans="2:3" ht="20.100000000000001" thickBot="1"/>
    <row r="50" spans="2:3" ht="20.100000000000001" thickBot="1">
      <c r="B50" s="5" t="s">
        <v>9</v>
      </c>
      <c r="C50" s="45">
        <f>XIRR(D28:D47,B28:B47)</f>
        <v>2.3489204049110413E-2</v>
      </c>
    </row>
    <row r="51" spans="2:3" ht="20.100000000000001" thickBot="1"/>
    <row r="52" spans="2:3" ht="20.100000000000001" thickBot="1">
      <c r="B52" s="5" t="s">
        <v>10</v>
      </c>
      <c r="C52" s="17">
        <f>SUM(E28:E47)</f>
        <v>90.205943783919793</v>
      </c>
    </row>
  </sheetData>
  <mergeCells count="2">
    <mergeCell ref="A1:G2"/>
    <mergeCell ref="A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Daniele</dc:creator>
  <cp:keywords/>
  <dc:description/>
  <cp:lastModifiedBy>Noemi Ferrarese</cp:lastModifiedBy>
  <cp:revision/>
  <dcterms:created xsi:type="dcterms:W3CDTF">2020-04-21T13:45:12Z</dcterms:created>
  <dcterms:modified xsi:type="dcterms:W3CDTF">2025-03-23T17:42:22Z</dcterms:modified>
  <cp:category/>
  <cp:contentStatus/>
</cp:coreProperties>
</file>